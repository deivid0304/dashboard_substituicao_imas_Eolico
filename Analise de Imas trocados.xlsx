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e.ferreira\Desktop\dashboard_substituicao_imas_Eolico\"/>
    </mc:Choice>
  </mc:AlternateContent>
  <xr:revisionPtr revIDLastSave="0" documentId="13_ncr:1_{DB761053-023E-47B1-9757-8F511603A993}" xr6:coauthVersionLast="47" xr6:coauthVersionMax="47" xr10:uidLastSave="{00000000-0000-0000-0000-000000000000}"/>
  <bookViews>
    <workbookView xWindow="-108" yWindow="-108" windowWidth="23256" windowHeight="12456" tabRatio="788" xr2:uid="{C091DDEC-8DDA-4975-BC4F-7DE5C097025C}"/>
  </bookViews>
  <sheets>
    <sheet name="Dados_Brutos" sheetId="1" r:id="rId1"/>
    <sheet name="Dados_Brutos (Agregados)" sheetId="9" state="hidden" r:id="rId2"/>
    <sheet name="Resumo_Turbinas" sheetId="2" r:id="rId3"/>
    <sheet name="Analise_Ciclos" sheetId="3" r:id="rId4"/>
    <sheet name="Evolução_Mensal" sheetId="4" state="hidden" r:id="rId5"/>
    <sheet name="Carreiras_Criticas" sheetId="5" state="hidden" r:id="rId6"/>
    <sheet name="Carreiras" sheetId="14" r:id="rId7"/>
    <sheet name="Carreiras_Vertical" sheetId="15" r:id="rId8"/>
    <sheet name="Analise_Performance" sheetId="11" r:id="rId9"/>
    <sheet name="Dashboards" sheetId="6" r:id="rId10"/>
    <sheet name="Config" sheetId="7" r:id="rId11"/>
    <sheet name="dados" sheetId="10" state="hidden" r:id="rId12"/>
  </sheets>
  <definedNames>
    <definedName name="_xlnm._FilterDatabase" localSheetId="0" hidden="1">Dados_Brutos!$D$147:$D$194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52" i="1" l="1"/>
  <c r="N151" i="1"/>
  <c r="N150" i="1"/>
  <c r="J2" i="14"/>
  <c r="J3" i="14"/>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B6" i="3"/>
  <c r="C6" i="3"/>
  <c r="D6" i="3"/>
  <c r="E6" i="3"/>
  <c r="F6" i="3"/>
  <c r="J6" i="3" s="1"/>
  <c r="G6" i="3"/>
  <c r="H6" i="3"/>
  <c r="I6" i="3"/>
  <c r="G131" i="14"/>
  <c r="G132" i="14"/>
  <c r="H131" i="14"/>
  <c r="H132" i="14"/>
  <c r="I131" i="14"/>
  <c r="I132" i="14"/>
  <c r="K131" i="14"/>
  <c r="K132" i="14"/>
  <c r="G130" i="14"/>
  <c r="H130" i="14"/>
  <c r="I130" i="14"/>
  <c r="K130" i="14"/>
  <c r="G129" i="14"/>
  <c r="H129" i="14"/>
  <c r="I129" i="14"/>
  <c r="K129" i="14"/>
  <c r="G128" i="14"/>
  <c r="H128" i="14"/>
  <c r="I128" i="14"/>
  <c r="K128" i="14"/>
  <c r="J149" i="1"/>
  <c r="N149" i="1" s="1"/>
  <c r="J148" i="1"/>
  <c r="N148" i="1"/>
  <c r="J128" i="1"/>
  <c r="N128" i="1" s="1"/>
  <c r="J127" i="1"/>
  <c r="N127" i="1" s="1"/>
  <c r="G109" i="14"/>
  <c r="H109" i="14"/>
  <c r="I109" i="14"/>
  <c r="K109" i="14"/>
  <c r="J129" i="1"/>
  <c r="N129" i="1"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30" i="1"/>
  <c r="N131" i="1"/>
  <c r="N132" i="1"/>
  <c r="N133" i="1"/>
  <c r="N134" i="1"/>
  <c r="N135" i="1"/>
  <c r="N136" i="1"/>
  <c r="N137" i="1"/>
  <c r="N138" i="1"/>
  <c r="N139" i="1"/>
  <c r="N140" i="1"/>
  <c r="N141" i="1"/>
  <c r="N142" i="1"/>
  <c r="N143" i="1"/>
  <c r="N144" i="1"/>
  <c r="N145" i="1"/>
  <c r="N146" i="1"/>
  <c r="N147" i="1"/>
  <c r="D3" i="3"/>
  <c r="G2"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D2" i="3" l="1"/>
  <c r="D4" i="3"/>
  <c r="E2" i="3"/>
  <c r="E3" i="3"/>
  <c r="E4" i="3"/>
  <c r="D5" i="3"/>
  <c r="E5" i="3"/>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B3" i="4"/>
  <c r="G3" i="4" s="1"/>
  <c r="B4" i="4"/>
  <c r="G4" i="4" s="1"/>
  <c r="B5" i="4"/>
  <c r="G5" i="4" s="1"/>
  <c r="B6" i="4"/>
  <c r="G6" i="4" s="1"/>
  <c r="B7" i="4"/>
  <c r="G7" i="4" s="1"/>
  <c r="B8" i="4"/>
  <c r="G8" i="4" s="1"/>
  <c r="B9" i="4"/>
  <c r="G9" i="4" s="1"/>
  <c r="B10" i="4"/>
  <c r="G10" i="4" s="1"/>
  <c r="B11" i="4"/>
  <c r="G11" i="4" s="1"/>
  <c r="B12" i="4"/>
  <c r="G12" i="4" s="1"/>
  <c r="B13" i="4"/>
  <c r="G13" i="4" s="1"/>
  <c r="B14" i="4"/>
  <c r="G14" i="4" s="1"/>
  <c r="B15" i="4"/>
  <c r="G15" i="4" s="1"/>
  <c r="B16" i="4"/>
  <c r="G16" i="4" s="1"/>
  <c r="B17" i="4"/>
  <c r="G17" i="4" s="1"/>
  <c r="B18" i="4"/>
  <c r="G18" i="4" s="1"/>
  <c r="B19" i="4"/>
  <c r="G19" i="4" s="1"/>
  <c r="B20" i="4"/>
  <c r="G20" i="4" s="1"/>
  <c r="B21" i="4"/>
  <c r="G21" i="4" s="1"/>
  <c r="B22" i="4"/>
  <c r="G22" i="4" s="1"/>
  <c r="B23" i="4"/>
  <c r="G23" i="4" s="1"/>
  <c r="B24" i="4"/>
  <c r="G24" i="4" s="1"/>
  <c r="B25" i="4"/>
  <c r="G25" i="4" s="1"/>
  <c r="B26" i="4"/>
  <c r="G26" i="4" s="1"/>
  <c r="B27" i="4"/>
  <c r="G27" i="4" s="1"/>
  <c r="B28" i="4"/>
  <c r="G28" i="4" s="1"/>
  <c r="B29" i="4"/>
  <c r="G29" i="4" s="1"/>
  <c r="B30" i="4"/>
  <c r="G30" i="4" s="1"/>
  <c r="B31" i="4"/>
  <c r="G31" i="4" s="1"/>
  <c r="B32" i="4"/>
  <c r="G32" i="4" s="1"/>
  <c r="B33" i="4"/>
  <c r="G33" i="4" s="1"/>
  <c r="B34" i="4"/>
  <c r="G34" i="4" s="1"/>
  <c r="B35" i="4"/>
  <c r="G35" i="4" s="1"/>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H10" i="4"/>
  <c r="F2" i="4"/>
  <c r="E2" i="4"/>
  <c r="D2" i="4"/>
  <c r="B2" i="4"/>
  <c r="G2" i="4" s="1"/>
  <c r="B6" i="6"/>
  <c r="C6" i="6" s="1"/>
  <c r="H13" i="4" l="1"/>
  <c r="H5" i="4"/>
  <c r="H12" i="4"/>
  <c r="H4" i="4"/>
  <c r="H18" i="4"/>
  <c r="H3" i="4"/>
  <c r="H19" i="4"/>
  <c r="H21" i="4"/>
  <c r="H14" i="4"/>
  <c r="H27" i="4"/>
  <c r="H17" i="4"/>
  <c r="H33" i="4"/>
  <c r="H25" i="4"/>
  <c r="H9" i="4"/>
  <c r="H6" i="4"/>
  <c r="H15" i="4"/>
  <c r="H35" i="4"/>
  <c r="H24" i="4"/>
  <c r="H34" i="4"/>
  <c r="H23" i="4"/>
  <c r="H32" i="4"/>
  <c r="H31" i="4"/>
  <c r="H8" i="4"/>
  <c r="H26" i="4"/>
  <c r="H16" i="4"/>
  <c r="H7" i="4"/>
  <c r="H20" i="4"/>
  <c r="H11" i="4"/>
  <c r="H28" i="4"/>
  <c r="H30" i="4"/>
  <c r="H22" i="4"/>
  <c r="H29" i="4"/>
  <c r="K119" i="14"/>
  <c r="K85" i="14"/>
  <c r="K75" i="14"/>
  <c r="K15" i="14"/>
  <c r="K89" i="14"/>
  <c r="K92" i="14"/>
  <c r="K43" i="14"/>
  <c r="K49" i="14"/>
  <c r="K80" i="14"/>
  <c r="K12" i="14"/>
  <c r="K87" i="14"/>
  <c r="K106" i="14"/>
  <c r="K122" i="14"/>
  <c r="K125" i="14"/>
  <c r="K37" i="14"/>
  <c r="K112" i="14"/>
  <c r="K9" i="14"/>
  <c r="K101" i="14"/>
  <c r="K2" i="14"/>
  <c r="K46" i="14"/>
  <c r="K40" i="14"/>
  <c r="K52" i="14"/>
  <c r="K19" i="14"/>
  <c r="K23" i="14"/>
  <c r="K28" i="14"/>
  <c r="K26" i="14"/>
  <c r="K34" i="14"/>
  <c r="K31" i="14"/>
  <c r="K64" i="14"/>
  <c r="K69" i="14"/>
  <c r="K71" i="14"/>
  <c r="K55" i="14"/>
  <c r="K62" i="14"/>
  <c r="K58" i="14"/>
  <c r="K17" i="14"/>
  <c r="K115" i="14"/>
  <c r="K95" i="14"/>
  <c r="K104" i="14"/>
  <c r="K5" i="14"/>
  <c r="K78" i="14"/>
  <c r="K82" i="14"/>
  <c r="K98" i="14"/>
  <c r="K7" i="14"/>
  <c r="K110" i="14"/>
  <c r="K73" i="14"/>
  <c r="K66" i="14"/>
  <c r="K20" i="14"/>
  <c r="K90" i="14"/>
  <c r="K53" i="14"/>
  <c r="K41" i="14"/>
  <c r="K47" i="14"/>
  <c r="K44" i="14"/>
  <c r="K67" i="14"/>
  <c r="K59" i="14"/>
  <c r="K24" i="14"/>
  <c r="K21" i="14"/>
  <c r="K63" i="14"/>
  <c r="K32" i="14"/>
  <c r="K102" i="14"/>
  <c r="K86" i="14"/>
  <c r="K93" i="14"/>
  <c r="K56" i="14"/>
  <c r="K116" i="14"/>
  <c r="K3" i="14"/>
  <c r="K60" i="14"/>
  <c r="K83" i="14"/>
  <c r="K126" i="14"/>
  <c r="K16" i="14"/>
  <c r="K18" i="14"/>
  <c r="K27" i="14"/>
  <c r="K50" i="14"/>
  <c r="K96" i="14"/>
  <c r="K35" i="14"/>
  <c r="K29" i="14"/>
  <c r="K76" i="14"/>
  <c r="K79" i="14"/>
  <c r="K38" i="14"/>
  <c r="K70" i="14"/>
  <c r="K99" i="14"/>
  <c r="K123" i="14"/>
  <c r="K65" i="14"/>
  <c r="K72" i="14"/>
  <c r="K88" i="14"/>
  <c r="K105" i="14"/>
  <c r="K107" i="14"/>
  <c r="K81" i="14"/>
  <c r="K13" i="14"/>
  <c r="K117" i="14"/>
  <c r="K6" i="14"/>
  <c r="K74" i="14"/>
  <c r="K111" i="14"/>
  <c r="K10" i="14"/>
  <c r="K113" i="14"/>
  <c r="K8" i="14"/>
  <c r="K120" i="14"/>
  <c r="K124" i="14"/>
  <c r="K11" i="14"/>
  <c r="K100" i="14"/>
  <c r="K94" i="14"/>
  <c r="K84" i="14"/>
  <c r="K97" i="14"/>
  <c r="K57" i="14"/>
  <c r="K68" i="14"/>
  <c r="K77" i="14"/>
  <c r="K14" i="14"/>
  <c r="K108" i="14"/>
  <c r="K118" i="14"/>
  <c r="K121" i="14"/>
  <c r="K127" i="14"/>
  <c r="K39" i="14"/>
  <c r="K91" i="14"/>
  <c r="K114" i="14"/>
  <c r="K103" i="14"/>
  <c r="K4" i="14"/>
  <c r="K48" i="14"/>
  <c r="K42" i="14"/>
  <c r="K45" i="14"/>
  <c r="K51" i="14"/>
  <c r="K54" i="14"/>
  <c r="K22" i="14"/>
  <c r="K25" i="14"/>
  <c r="K30" i="14"/>
  <c r="K33" i="14"/>
  <c r="K36" i="14"/>
  <c r="K61" i="14"/>
  <c r="I119" i="14"/>
  <c r="I85" i="14"/>
  <c r="I75" i="14"/>
  <c r="I15" i="14"/>
  <c r="I89" i="14"/>
  <c r="I92" i="14"/>
  <c r="I43" i="14"/>
  <c r="I49" i="14"/>
  <c r="I80" i="14"/>
  <c r="I12" i="14"/>
  <c r="I87" i="14"/>
  <c r="I106" i="14"/>
  <c r="I122" i="14"/>
  <c r="I125" i="14"/>
  <c r="I37" i="14"/>
  <c r="I112" i="14"/>
  <c r="I9" i="14"/>
  <c r="I101" i="14"/>
  <c r="I2" i="14"/>
  <c r="I46" i="14"/>
  <c r="I40" i="14"/>
  <c r="I52" i="14"/>
  <c r="I19" i="14"/>
  <c r="I23" i="14"/>
  <c r="I28" i="14"/>
  <c r="I26" i="14"/>
  <c r="I34" i="14"/>
  <c r="I31" i="14"/>
  <c r="I64" i="14"/>
  <c r="I69" i="14"/>
  <c r="I71" i="14"/>
  <c r="I55" i="14"/>
  <c r="I62" i="14"/>
  <c r="I58" i="14"/>
  <c r="I17" i="14"/>
  <c r="I115" i="14"/>
  <c r="I95" i="14"/>
  <c r="I104" i="14"/>
  <c r="I5" i="14"/>
  <c r="I78" i="14"/>
  <c r="I82" i="14"/>
  <c r="I98" i="14"/>
  <c r="I7" i="14"/>
  <c r="I110" i="14"/>
  <c r="I73" i="14"/>
  <c r="I66" i="14"/>
  <c r="I20" i="14"/>
  <c r="I90" i="14"/>
  <c r="I53" i="14"/>
  <c r="I41" i="14"/>
  <c r="I47" i="14"/>
  <c r="I44" i="14"/>
  <c r="I67" i="14"/>
  <c r="I59" i="14"/>
  <c r="I24" i="14"/>
  <c r="I21" i="14"/>
  <c r="I63" i="14"/>
  <c r="I32" i="14"/>
  <c r="I102" i="14"/>
  <c r="I86" i="14"/>
  <c r="I93" i="14"/>
  <c r="I56" i="14"/>
  <c r="I116" i="14"/>
  <c r="I3" i="14"/>
  <c r="I60" i="14"/>
  <c r="I83" i="14"/>
  <c r="I126" i="14"/>
  <c r="I16" i="14"/>
  <c r="I18" i="14"/>
  <c r="I27" i="14"/>
  <c r="I50" i="14"/>
  <c r="I96" i="14"/>
  <c r="I35" i="14"/>
  <c r="I29" i="14"/>
  <c r="I76" i="14"/>
  <c r="I79" i="14"/>
  <c r="I38" i="14"/>
  <c r="I70" i="14"/>
  <c r="I99" i="14"/>
  <c r="I123" i="14"/>
  <c r="I65" i="14"/>
  <c r="I72" i="14"/>
  <c r="I88" i="14"/>
  <c r="I105" i="14"/>
  <c r="I107" i="14"/>
  <c r="I81" i="14"/>
  <c r="I13" i="14"/>
  <c r="I117" i="14"/>
  <c r="I6" i="14"/>
  <c r="I74" i="14"/>
  <c r="I111" i="14"/>
  <c r="I10" i="14"/>
  <c r="I113" i="14"/>
  <c r="I8" i="14"/>
  <c r="I120" i="14"/>
  <c r="I124" i="14"/>
  <c r="I11" i="14"/>
  <c r="I100" i="14"/>
  <c r="I94" i="14"/>
  <c r="I84" i="14"/>
  <c r="I97" i="14"/>
  <c r="I57" i="14"/>
  <c r="I68" i="14"/>
  <c r="I77" i="14"/>
  <c r="I14" i="14"/>
  <c r="I108" i="14"/>
  <c r="I118" i="14"/>
  <c r="I121" i="14"/>
  <c r="I127" i="14"/>
  <c r="I39" i="14"/>
  <c r="I91" i="14"/>
  <c r="I114" i="14"/>
  <c r="I103" i="14"/>
  <c r="I4" i="14"/>
  <c r="I48" i="14"/>
  <c r="I42" i="14"/>
  <c r="I45" i="14"/>
  <c r="I51" i="14"/>
  <c r="I54" i="14"/>
  <c r="I22" i="14"/>
  <c r="I25" i="14"/>
  <c r="I30" i="14"/>
  <c r="I33" i="14"/>
  <c r="I36" i="14"/>
  <c r="I61" i="14"/>
  <c r="H119" i="14"/>
  <c r="H85" i="14"/>
  <c r="H75" i="14"/>
  <c r="H15" i="14"/>
  <c r="H89" i="14"/>
  <c r="H92" i="14"/>
  <c r="H43" i="14"/>
  <c r="H49" i="14"/>
  <c r="H80" i="14"/>
  <c r="H12" i="14"/>
  <c r="H87" i="14"/>
  <c r="H106" i="14"/>
  <c r="H122" i="14"/>
  <c r="H125" i="14"/>
  <c r="H37" i="14"/>
  <c r="H112" i="14"/>
  <c r="H9" i="14"/>
  <c r="H101" i="14"/>
  <c r="H2" i="14"/>
  <c r="H46" i="14"/>
  <c r="H40" i="14"/>
  <c r="H52" i="14"/>
  <c r="H19" i="14"/>
  <c r="H23" i="14"/>
  <c r="H28" i="14"/>
  <c r="H26" i="14"/>
  <c r="H34" i="14"/>
  <c r="H31" i="14"/>
  <c r="H64" i="14"/>
  <c r="H69" i="14"/>
  <c r="H71" i="14"/>
  <c r="H55" i="14"/>
  <c r="H62" i="14"/>
  <c r="H58" i="14"/>
  <c r="H17" i="14"/>
  <c r="H115" i="14"/>
  <c r="H95" i="14"/>
  <c r="H104" i="14"/>
  <c r="H5" i="14"/>
  <c r="H78" i="14"/>
  <c r="H82" i="14"/>
  <c r="H98" i="14"/>
  <c r="H7" i="14"/>
  <c r="H110" i="14"/>
  <c r="H73" i="14"/>
  <c r="H66" i="14"/>
  <c r="H20" i="14"/>
  <c r="H90" i="14"/>
  <c r="H53" i="14"/>
  <c r="H41" i="14"/>
  <c r="H47" i="14"/>
  <c r="H44" i="14"/>
  <c r="H67" i="14"/>
  <c r="H59" i="14"/>
  <c r="H24" i="14"/>
  <c r="H21" i="14"/>
  <c r="H63" i="14"/>
  <c r="H32" i="14"/>
  <c r="H102" i="14"/>
  <c r="H86" i="14"/>
  <c r="H93" i="14"/>
  <c r="H56" i="14"/>
  <c r="H116" i="14"/>
  <c r="H3" i="14"/>
  <c r="H60" i="14"/>
  <c r="H83" i="14"/>
  <c r="H126" i="14"/>
  <c r="H16" i="14"/>
  <c r="H18" i="14"/>
  <c r="H27" i="14"/>
  <c r="H50" i="14"/>
  <c r="H96" i="14"/>
  <c r="H35" i="14"/>
  <c r="H29" i="14"/>
  <c r="H76" i="14"/>
  <c r="H79" i="14"/>
  <c r="H38" i="14"/>
  <c r="H70" i="14"/>
  <c r="H99" i="14"/>
  <c r="H123" i="14"/>
  <c r="H65" i="14"/>
  <c r="H72" i="14"/>
  <c r="H88" i="14"/>
  <c r="H105" i="14"/>
  <c r="H107" i="14"/>
  <c r="H81" i="14"/>
  <c r="H13" i="14"/>
  <c r="H117" i="14"/>
  <c r="H6" i="14"/>
  <c r="H74" i="14"/>
  <c r="H111" i="14"/>
  <c r="H10" i="14"/>
  <c r="H113" i="14"/>
  <c r="H8" i="14"/>
  <c r="H120" i="14"/>
  <c r="H124" i="14"/>
  <c r="H11" i="14"/>
  <c r="H100" i="14"/>
  <c r="H94" i="14"/>
  <c r="H84" i="14"/>
  <c r="H97" i="14"/>
  <c r="H57" i="14"/>
  <c r="H68" i="14"/>
  <c r="H77" i="14"/>
  <c r="H14" i="14"/>
  <c r="H108" i="14"/>
  <c r="H118" i="14"/>
  <c r="H121" i="14"/>
  <c r="H127" i="14"/>
  <c r="H39" i="14"/>
  <c r="H91" i="14"/>
  <c r="H114" i="14"/>
  <c r="H103" i="14"/>
  <c r="H4" i="14"/>
  <c r="H48" i="14"/>
  <c r="H42" i="14"/>
  <c r="H45" i="14"/>
  <c r="H51" i="14"/>
  <c r="H54" i="14"/>
  <c r="H22" i="14"/>
  <c r="H25" i="14"/>
  <c r="H30" i="14"/>
  <c r="H33" i="14"/>
  <c r="H36" i="14"/>
  <c r="H61" i="14"/>
  <c r="G119" i="14"/>
  <c r="G85" i="14"/>
  <c r="G75" i="14"/>
  <c r="G15" i="14"/>
  <c r="G89" i="14"/>
  <c r="G92" i="14"/>
  <c r="G43" i="14"/>
  <c r="G49" i="14"/>
  <c r="G80" i="14"/>
  <c r="G12" i="14"/>
  <c r="G87" i="14"/>
  <c r="G106" i="14"/>
  <c r="G122" i="14"/>
  <c r="G125" i="14"/>
  <c r="G37" i="14"/>
  <c r="G112" i="14"/>
  <c r="G9" i="14"/>
  <c r="G101" i="14"/>
  <c r="G2" i="14"/>
  <c r="G46" i="14"/>
  <c r="G40" i="14"/>
  <c r="G52" i="14"/>
  <c r="G19" i="14"/>
  <c r="G23" i="14"/>
  <c r="G28" i="14"/>
  <c r="G26" i="14"/>
  <c r="G34" i="14"/>
  <c r="G31" i="14"/>
  <c r="G64" i="14"/>
  <c r="G69" i="14"/>
  <c r="G71" i="14"/>
  <c r="G55" i="14"/>
  <c r="G62" i="14"/>
  <c r="G58" i="14"/>
  <c r="G17" i="14"/>
  <c r="G115" i="14"/>
  <c r="G95" i="14"/>
  <c r="G104" i="14"/>
  <c r="G5" i="14"/>
  <c r="G78" i="14"/>
  <c r="G82" i="14"/>
  <c r="G98" i="14"/>
  <c r="G7" i="14"/>
  <c r="G110" i="14"/>
  <c r="G73" i="14"/>
  <c r="G66" i="14"/>
  <c r="G20" i="14"/>
  <c r="G90" i="14"/>
  <c r="G53" i="14"/>
  <c r="G41" i="14"/>
  <c r="G47" i="14"/>
  <c r="G44" i="14"/>
  <c r="G67" i="14"/>
  <c r="G59" i="14"/>
  <c r="G24" i="14"/>
  <c r="G21" i="14"/>
  <c r="G63" i="14"/>
  <c r="G32" i="14"/>
  <c r="G102" i="14"/>
  <c r="G86" i="14"/>
  <c r="G93" i="14"/>
  <c r="G56" i="14"/>
  <c r="G116" i="14"/>
  <c r="G3" i="14"/>
  <c r="G60" i="14"/>
  <c r="G83" i="14"/>
  <c r="G126" i="14"/>
  <c r="G16" i="14"/>
  <c r="G18" i="14"/>
  <c r="G27" i="14"/>
  <c r="G50" i="14"/>
  <c r="G96" i="14"/>
  <c r="G35" i="14"/>
  <c r="G29" i="14"/>
  <c r="G76" i="14"/>
  <c r="G79" i="14"/>
  <c r="G38" i="14"/>
  <c r="G70" i="14"/>
  <c r="G99" i="14"/>
  <c r="G123" i="14"/>
  <c r="G65" i="14"/>
  <c r="G72" i="14"/>
  <c r="G88" i="14"/>
  <c r="G105" i="14"/>
  <c r="G107" i="14"/>
  <c r="G81" i="14"/>
  <c r="G13" i="14"/>
  <c r="G117" i="14"/>
  <c r="G6" i="14"/>
  <c r="G74" i="14"/>
  <c r="G111" i="14"/>
  <c r="G10" i="14"/>
  <c r="G113" i="14"/>
  <c r="G8" i="14"/>
  <c r="G120" i="14"/>
  <c r="G124" i="14"/>
  <c r="G11" i="14"/>
  <c r="G100" i="14"/>
  <c r="G94" i="14"/>
  <c r="G84" i="14"/>
  <c r="G97" i="14"/>
  <c r="G57" i="14"/>
  <c r="G68" i="14"/>
  <c r="G77" i="14"/>
  <c r="G14" i="14"/>
  <c r="G108" i="14"/>
  <c r="G118" i="14"/>
  <c r="G121" i="14"/>
  <c r="G127" i="14"/>
  <c r="G39" i="14"/>
  <c r="G91" i="14"/>
  <c r="G114" i="14"/>
  <c r="G103" i="14"/>
  <c r="G4" i="14"/>
  <c r="G48" i="14"/>
  <c r="G42" i="14"/>
  <c r="G45" i="14"/>
  <c r="G51" i="14"/>
  <c r="G54" i="14"/>
  <c r="G22" i="14"/>
  <c r="G25" i="14"/>
  <c r="G30" i="14"/>
  <c r="G33" i="14"/>
  <c r="G36" i="14"/>
  <c r="G61" i="14"/>
  <c r="I2" i="11" a="1"/>
  <c r="I2" i="11" s="1"/>
  <c r="J2" i="11" s="1"/>
  <c r="I3" i="11" a="1"/>
  <c r="I3" i="11" s="1"/>
  <c r="J3" i="11" s="1"/>
  <c r="I4" i="11" a="1"/>
  <c r="I4" i="11" s="1"/>
  <c r="J4" i="11" s="1"/>
  <c r="I5" i="11" a="1"/>
  <c r="I5" i="11" s="1"/>
  <c r="J5" i="11" s="1"/>
  <c r="I6" i="11" a="1"/>
  <c r="I6" i="11" s="1"/>
  <c r="J6" i="11" s="1"/>
  <c r="I7" i="11" a="1"/>
  <c r="I7" i="11" s="1"/>
  <c r="J7" i="11" s="1"/>
  <c r="I8" i="11" a="1"/>
  <c r="I8" i="11" s="1"/>
  <c r="J8" i="11" s="1"/>
  <c r="I9" i="11" a="1"/>
  <c r="I9" i="11" s="1"/>
  <c r="J9" i="11" s="1"/>
  <c r="I10" i="11" a="1"/>
  <c r="I10" i="11" s="1"/>
  <c r="J10" i="11" s="1"/>
  <c r="I11" i="11" a="1"/>
  <c r="I11" i="11" s="1"/>
  <c r="J11" i="11" s="1"/>
  <c r="I12" i="11" a="1"/>
  <c r="I12" i="11" s="1"/>
  <c r="J12" i="11" s="1"/>
  <c r="I13" i="11" a="1"/>
  <c r="I13" i="11" s="1"/>
  <c r="J13" i="11" s="1"/>
  <c r="I14" i="11" a="1"/>
  <c r="I14" i="11" s="1"/>
  <c r="J14" i="11" s="1"/>
  <c r="I15" i="11" a="1"/>
  <c r="I15" i="11" s="1"/>
  <c r="J15" i="11" s="1"/>
  <c r="I16" i="11" a="1"/>
  <c r="I16" i="11" s="1"/>
  <c r="J16" i="11" s="1"/>
  <c r="I17" i="11" a="1"/>
  <c r="I17" i="11" s="1"/>
  <c r="J17" i="11" s="1"/>
  <c r="I18" i="11" a="1"/>
  <c r="I18" i="11" s="1"/>
  <c r="J18" i="11" s="1"/>
  <c r="I19" i="11" a="1"/>
  <c r="I19" i="11" s="1"/>
  <c r="J19" i="11" s="1"/>
  <c r="I20" i="11" a="1"/>
  <c r="I20" i="11" s="1"/>
  <c r="J20" i="11" s="1"/>
  <c r="I21" i="11" a="1"/>
  <c r="I21" i="11" s="1"/>
  <c r="J21" i="11" s="1"/>
  <c r="I22" i="11" a="1"/>
  <c r="I22" i="11" s="1"/>
  <c r="J22" i="11" s="1"/>
  <c r="I23" i="11" a="1"/>
  <c r="I23" i="11" s="1"/>
  <c r="J23" i="11" s="1"/>
  <c r="I24" i="11" a="1"/>
  <c r="I24" i="11" s="1"/>
  <c r="J24" i="11" s="1"/>
  <c r="I25" i="11" a="1"/>
  <c r="I25" i="11" s="1"/>
  <c r="J25" i="11" s="1"/>
  <c r="I26" i="11" a="1"/>
  <c r="I26" i="11" s="1"/>
  <c r="J26" i="11" s="1"/>
  <c r="I27" i="11" a="1"/>
  <c r="I27" i="11" s="1"/>
  <c r="J27" i="11" s="1"/>
  <c r="I28" i="11" a="1"/>
  <c r="I28" i="11" s="1"/>
  <c r="J28" i="11" s="1"/>
  <c r="I29" i="11" a="1"/>
  <c r="I29" i="11" s="1"/>
  <c r="J29" i="11" s="1"/>
  <c r="I30" i="11" a="1"/>
  <c r="I30" i="11" s="1"/>
  <c r="J30" i="11" s="1"/>
  <c r="I31" i="11" a="1"/>
  <c r="I31" i="11" s="1"/>
  <c r="J31" i="11" s="1"/>
  <c r="I32" i="11" a="1"/>
  <c r="I32" i="11" s="1"/>
  <c r="J32" i="11" s="1"/>
  <c r="I33" i="11" a="1"/>
  <c r="I33" i="11" s="1"/>
  <c r="J33" i="11" s="1"/>
  <c r="I34" i="11" a="1"/>
  <c r="I34" i="11" s="1"/>
  <c r="J34" i="11" s="1"/>
  <c r="I35" i="11" a="1"/>
  <c r="I35" i="11" s="1"/>
  <c r="J35" i="11" s="1"/>
  <c r="I36" i="11" a="1"/>
  <c r="I36" i="11" s="1"/>
  <c r="J36" i="11" s="1"/>
  <c r="I37" i="11" a="1"/>
  <c r="I37" i="11" s="1"/>
  <c r="J37" i="11" s="1"/>
  <c r="I38" i="11" a="1"/>
  <c r="I38" i="11" s="1"/>
  <c r="J38" i="11" s="1"/>
  <c r="I39" i="11" a="1"/>
  <c r="I39" i="11" s="1"/>
  <c r="J39" i="11" s="1"/>
  <c r="I40" i="11" a="1"/>
  <c r="I40" i="11" s="1"/>
  <c r="J40" i="11" s="1"/>
  <c r="I41" i="11" a="1"/>
  <c r="I41" i="11" s="1"/>
  <c r="J41" i="11" s="1"/>
  <c r="I42" i="11" a="1"/>
  <c r="I42" i="11" s="1"/>
  <c r="J42" i="11" s="1"/>
  <c r="I43" i="11" a="1"/>
  <c r="I43" i="11" s="1"/>
  <c r="J43" i="11" s="1"/>
  <c r="I44" i="11" a="1"/>
  <c r="I44" i="11" s="1"/>
  <c r="J44" i="11" s="1"/>
  <c r="I45" i="11" a="1"/>
  <c r="I45" i="11" s="1"/>
  <c r="J45" i="11" s="1"/>
  <c r="I46" i="11" a="1"/>
  <c r="I46" i="11" s="1"/>
  <c r="J46" i="11" s="1"/>
  <c r="I47" i="11" a="1"/>
  <c r="I47" i="11" s="1"/>
  <c r="J47" i="11" s="1"/>
  <c r="I48" i="11" a="1"/>
  <c r="I48" i="11" s="1"/>
  <c r="J48" i="11" s="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2" i="11"/>
  <c r="D8" i="11" l="1"/>
  <c r="D2" i="11"/>
  <c r="F2" i="11" s="1"/>
  <c r="H2" i="11" s="1"/>
  <c r="D48" i="11"/>
  <c r="F48" i="11" s="1"/>
  <c r="H48" i="11" s="1"/>
  <c r="D47" i="11"/>
  <c r="E47" i="11" s="1"/>
  <c r="D46" i="11"/>
  <c r="E46" i="11" s="1"/>
  <c r="D45" i="11"/>
  <c r="E45" i="11" s="1"/>
  <c r="D44" i="11"/>
  <c r="E44" i="11" s="1"/>
  <c r="D43" i="11"/>
  <c r="E43" i="11" s="1"/>
  <c r="D42" i="11"/>
  <c r="E42" i="11" s="1"/>
  <c r="D41" i="11"/>
  <c r="F41" i="11" s="1"/>
  <c r="H41" i="11" s="1"/>
  <c r="D40" i="11"/>
  <c r="F40" i="11" s="1"/>
  <c r="H40" i="11" s="1"/>
  <c r="D39" i="11"/>
  <c r="E39" i="11" s="1"/>
  <c r="D38" i="11"/>
  <c r="F38" i="11" s="1"/>
  <c r="H38" i="11" s="1"/>
  <c r="D37" i="11"/>
  <c r="E37" i="11" s="1"/>
  <c r="D36" i="11"/>
  <c r="E36" i="11" s="1"/>
  <c r="D35" i="11"/>
  <c r="F35" i="11" s="1"/>
  <c r="H35" i="11" s="1"/>
  <c r="D34" i="11"/>
  <c r="F34" i="11" s="1"/>
  <c r="H34" i="11" s="1"/>
  <c r="D33" i="11"/>
  <c r="F33" i="11" s="1"/>
  <c r="H33" i="11" s="1"/>
  <c r="D32" i="11"/>
  <c r="F32" i="11" s="1"/>
  <c r="H32" i="11" s="1"/>
  <c r="D31" i="11"/>
  <c r="F31" i="11" s="1"/>
  <c r="H31" i="11" s="1"/>
  <c r="D30" i="11"/>
  <c r="F30" i="11" s="1"/>
  <c r="H30" i="11" s="1"/>
  <c r="D29" i="11"/>
  <c r="E29" i="11" s="1"/>
  <c r="D28" i="11"/>
  <c r="E28" i="11" s="1"/>
  <c r="D27" i="11"/>
  <c r="F27" i="11" s="1"/>
  <c r="H27" i="11" s="1"/>
  <c r="D26" i="11"/>
  <c r="F26" i="11" s="1"/>
  <c r="H26" i="11" s="1"/>
  <c r="D25" i="11"/>
  <c r="F25" i="11" s="1"/>
  <c r="H25" i="11" s="1"/>
  <c r="D24" i="11"/>
  <c r="F24" i="11" s="1"/>
  <c r="H24" i="11" s="1"/>
  <c r="D23" i="11"/>
  <c r="F23" i="11" s="1"/>
  <c r="H23" i="11" s="1"/>
  <c r="D22" i="11"/>
  <c r="F22" i="11" s="1"/>
  <c r="H22" i="11" s="1"/>
  <c r="D21" i="11"/>
  <c r="F21" i="11" s="1"/>
  <c r="H21" i="11" s="1"/>
  <c r="D20" i="11"/>
  <c r="F20" i="11" s="1"/>
  <c r="H20" i="11" s="1"/>
  <c r="D19" i="11"/>
  <c r="F19" i="11" s="1"/>
  <c r="H19" i="11" s="1"/>
  <c r="D18" i="11"/>
  <c r="F18" i="11" s="1"/>
  <c r="H18" i="11" s="1"/>
  <c r="D17" i="11"/>
  <c r="F17" i="11" s="1"/>
  <c r="H17" i="11" s="1"/>
  <c r="D16" i="11"/>
  <c r="F16" i="11" s="1"/>
  <c r="H16" i="11" s="1"/>
  <c r="D15" i="11"/>
  <c r="F15" i="11" s="1"/>
  <c r="H15" i="11" s="1"/>
  <c r="D14" i="11"/>
  <c r="F14" i="11" s="1"/>
  <c r="H14" i="11" s="1"/>
  <c r="D13" i="11"/>
  <c r="F13" i="11" s="1"/>
  <c r="H13" i="11" s="1"/>
  <c r="D12" i="11"/>
  <c r="F12" i="11" s="1"/>
  <c r="H12" i="11" s="1"/>
  <c r="D11" i="11"/>
  <c r="F11" i="11" s="1"/>
  <c r="H11" i="11" s="1"/>
  <c r="D10" i="11"/>
  <c r="F10" i="11" s="1"/>
  <c r="H10" i="11" s="1"/>
  <c r="D9" i="11"/>
  <c r="F9" i="11" s="1"/>
  <c r="H9" i="11" s="1"/>
  <c r="D7" i="11"/>
  <c r="F7" i="11" s="1"/>
  <c r="H7" i="11" s="1"/>
  <c r="D6" i="11"/>
  <c r="F6" i="11" s="1"/>
  <c r="H6" i="11" s="1"/>
  <c r="D5" i="11"/>
  <c r="F5" i="11" s="1"/>
  <c r="H5" i="11" s="1"/>
  <c r="D4" i="11"/>
  <c r="E4" i="11" s="1"/>
  <c r="D3" i="11"/>
  <c r="E3" i="11" s="1"/>
  <c r="F45" i="11"/>
  <c r="H45" i="11" s="1"/>
  <c r="F44" i="11"/>
  <c r="H44" i="11" s="1"/>
  <c r="F43" i="11"/>
  <c r="H43" i="11" s="1"/>
  <c r="F42" i="11"/>
  <c r="H42" i="11" s="1"/>
  <c r="F39" i="11"/>
  <c r="H39" i="11" s="1"/>
  <c r="F37" i="11"/>
  <c r="H37" i="11" s="1"/>
  <c r="F47" i="11"/>
  <c r="H47" i="11" s="1"/>
  <c r="F36" i="11"/>
  <c r="H36" i="11" s="1"/>
  <c r="F46" i="11"/>
  <c r="H46" i="11" s="1"/>
  <c r="F29" i="11"/>
  <c r="H29" i="11" s="1"/>
  <c r="F8" i="11"/>
  <c r="H8" i="11" s="1"/>
  <c r="E8" i="11"/>
  <c r="E35" i="11"/>
  <c r="E27" i="11"/>
  <c r="E19" i="11"/>
  <c r="E11" i="11"/>
  <c r="E34" i="11"/>
  <c r="E26" i="11"/>
  <c r="E18" i="11"/>
  <c r="E10" i="11"/>
  <c r="E2" i="11"/>
  <c r="E41" i="11"/>
  <c r="E33" i="11"/>
  <c r="E25" i="11"/>
  <c r="E9" i="11"/>
  <c r="E48" i="11"/>
  <c r="E40" i="11"/>
  <c r="E32" i="11"/>
  <c r="E24" i="11"/>
  <c r="E16" i="11"/>
  <c r="E31" i="11"/>
  <c r="E23" i="11"/>
  <c r="E15" i="11"/>
  <c r="E7" i="11"/>
  <c r="E38" i="11"/>
  <c r="E30" i="11"/>
  <c r="E22" i="11"/>
  <c r="E14" i="11"/>
  <c r="E6" i="11"/>
  <c r="E21" i="11"/>
  <c r="E13" i="11"/>
  <c r="E5" i="11"/>
  <c r="E17" i="11" l="1"/>
  <c r="F28" i="11"/>
  <c r="H28" i="11" s="1"/>
  <c r="F4" i="11"/>
  <c r="H4" i="11" s="1"/>
  <c r="F3" i="11"/>
  <c r="H3" i="11" s="1"/>
  <c r="E12" i="11"/>
  <c r="E20" i="11"/>
  <c r="B5" i="5"/>
  <c r="B6" i="5"/>
  <c r="B7" i="5"/>
  <c r="B8" i="5"/>
  <c r="D8" i="5" s="1"/>
  <c r="B9" i="5"/>
  <c r="D9" i="5" s="1"/>
  <c r="B10" i="5"/>
  <c r="D10" i="5" s="1"/>
  <c r="B11" i="5"/>
  <c r="H11" i="5" s="1"/>
  <c r="B12" i="5"/>
  <c r="B13" i="5"/>
  <c r="B14" i="5"/>
  <c r="D14" i="5" s="1"/>
  <c r="B15" i="5"/>
  <c r="D15" i="5" s="1"/>
  <c r="B16" i="5"/>
  <c r="H16" i="5" s="1"/>
  <c r="B17" i="5"/>
  <c r="D17" i="5" s="1"/>
  <c r="B18" i="5"/>
  <c r="H18" i="5" s="1"/>
  <c r="B19" i="5"/>
  <c r="H19" i="5" s="1"/>
  <c r="B20" i="5"/>
  <c r="D20" i="5" s="1"/>
  <c r="B21" i="5"/>
  <c r="B22" i="5"/>
  <c r="B23" i="5"/>
  <c r="B24" i="5"/>
  <c r="E24" i="5" s="1"/>
  <c r="B25" i="5"/>
  <c r="D25" i="5" s="1"/>
  <c r="B26" i="5"/>
  <c r="E26" i="5" s="1"/>
  <c r="B27" i="5"/>
  <c r="E27" i="5" s="1"/>
  <c r="B28" i="5"/>
  <c r="D28" i="5" s="1"/>
  <c r="B29" i="5"/>
  <c r="B30" i="5"/>
  <c r="B31" i="5"/>
  <c r="B32" i="5"/>
  <c r="E32" i="5" s="1"/>
  <c r="B33" i="5"/>
  <c r="D33" i="5" s="1"/>
  <c r="B34" i="5"/>
  <c r="E34" i="5" s="1"/>
  <c r="B35" i="5"/>
  <c r="E35" i="5" s="1"/>
  <c r="B36" i="5"/>
  <c r="D36" i="5" s="1"/>
  <c r="B37" i="5"/>
  <c r="B38" i="5"/>
  <c r="B39" i="5"/>
  <c r="B40" i="5"/>
  <c r="H40" i="5" s="1"/>
  <c r="B41" i="5"/>
  <c r="D41" i="5" s="1"/>
  <c r="B42" i="5"/>
  <c r="H42" i="5" s="1"/>
  <c r="B43" i="5"/>
  <c r="D43" i="5" s="1"/>
  <c r="B44" i="5"/>
  <c r="D44" i="5" s="1"/>
  <c r="B45" i="5"/>
  <c r="B46" i="5"/>
  <c r="B47" i="5"/>
  <c r="E47" i="5" s="1"/>
  <c r="B48" i="5"/>
  <c r="D48" i="5" s="1"/>
  <c r="B49" i="5"/>
  <c r="D49" i="5" s="1"/>
  <c r="B50" i="5"/>
  <c r="D50" i="5" s="1"/>
  <c r="B51" i="5"/>
  <c r="D51" i="5" s="1"/>
  <c r="B52" i="5"/>
  <c r="D52" i="5" s="1"/>
  <c r="B53" i="5"/>
  <c r="D53" i="5" s="1"/>
  <c r="B54" i="5"/>
  <c r="B55" i="5"/>
  <c r="H55" i="5" s="1"/>
  <c r="B56" i="5"/>
  <c r="D56" i="5" s="1"/>
  <c r="B57" i="5"/>
  <c r="D57" i="5" s="1"/>
  <c r="B58" i="5"/>
  <c r="E58" i="5" s="1"/>
  <c r="B59" i="5"/>
  <c r="D59" i="5" s="1"/>
  <c r="B60" i="5"/>
  <c r="H60" i="5" s="1"/>
  <c r="B61" i="5"/>
  <c r="D61" i="5" s="1"/>
  <c r="B62" i="5"/>
  <c r="B63" i="5"/>
  <c r="B64" i="5"/>
  <c r="E64" i="5" s="1"/>
  <c r="B65" i="5"/>
  <c r="D65" i="5" s="1"/>
  <c r="B66" i="5"/>
  <c r="H66" i="5" s="1"/>
  <c r="B67" i="5"/>
  <c r="D67" i="5" s="1"/>
  <c r="B68" i="5"/>
  <c r="D68" i="5" s="1"/>
  <c r="B69" i="5"/>
  <c r="B70" i="5"/>
  <c r="B71" i="5"/>
  <c r="B72" i="5"/>
  <c r="D72" i="5" s="1"/>
  <c r="B73" i="5"/>
  <c r="D73" i="5" s="1"/>
  <c r="B74" i="5"/>
  <c r="D74" i="5" s="1"/>
  <c r="B75" i="5"/>
  <c r="E75" i="5" s="1"/>
  <c r="B76" i="5"/>
  <c r="D76" i="5" s="1"/>
  <c r="B77" i="5"/>
  <c r="D77" i="5" s="1"/>
  <c r="B78" i="5"/>
  <c r="B79" i="5"/>
  <c r="D79" i="5" s="1"/>
  <c r="B80" i="5"/>
  <c r="E80" i="5" s="1"/>
  <c r="B81" i="5"/>
  <c r="H81" i="5" s="1"/>
  <c r="B82" i="5"/>
  <c r="D82" i="5" s="1"/>
  <c r="B83" i="5"/>
  <c r="E83" i="5" s="1"/>
  <c r="B84" i="5"/>
  <c r="D84" i="5" s="1"/>
  <c r="B85" i="5"/>
  <c r="B86" i="5"/>
  <c r="B87" i="5"/>
  <c r="B88" i="5"/>
  <c r="E88" i="5" s="1"/>
  <c r="B89" i="5"/>
  <c r="E89" i="5" s="1"/>
  <c r="B90" i="5"/>
  <c r="E90" i="5" s="1"/>
  <c r="B91" i="5"/>
  <c r="E91" i="5" s="1"/>
  <c r="B92" i="5"/>
  <c r="D92" i="5" s="1"/>
  <c r="B93" i="5"/>
  <c r="H93" i="5" s="1"/>
  <c r="B94" i="5"/>
  <c r="B95" i="5"/>
  <c r="D95" i="5" s="1"/>
  <c r="B96" i="5"/>
  <c r="H96" i="5" s="1"/>
  <c r="B97" i="5"/>
  <c r="D97" i="5" s="1"/>
  <c r="B98" i="5"/>
  <c r="D98" i="5" s="1"/>
  <c r="B99" i="5"/>
  <c r="H99" i="5" s="1"/>
  <c r="B100" i="5"/>
  <c r="D100" i="5" s="1"/>
  <c r="B101" i="5"/>
  <c r="B102" i="5"/>
  <c r="B103" i="5"/>
  <c r="B104" i="5"/>
  <c r="D104" i="5" s="1"/>
  <c r="B105" i="5"/>
  <c r="H105" i="5" s="1"/>
  <c r="B106" i="5"/>
  <c r="D106" i="5" s="1"/>
  <c r="B107" i="5"/>
  <c r="D107" i="5" s="1"/>
  <c r="B108" i="5"/>
  <c r="D108" i="5" s="1"/>
  <c r="B109" i="5"/>
  <c r="E109" i="5" s="1"/>
  <c r="B110" i="5"/>
  <c r="D110" i="5" s="1"/>
  <c r="B111" i="5"/>
  <c r="D111" i="5" s="1"/>
  <c r="B112" i="5"/>
  <c r="E112" i="5" s="1"/>
  <c r="B113" i="5"/>
  <c r="D113" i="5" s="1"/>
  <c r="B114" i="5"/>
  <c r="H114" i="5" s="1"/>
  <c r="B115" i="5"/>
  <c r="D115" i="5" s="1"/>
  <c r="B116" i="5"/>
  <c r="D116" i="5" s="1"/>
  <c r="B117" i="5"/>
  <c r="D117" i="5" s="1"/>
  <c r="B118" i="5"/>
  <c r="D118" i="5" s="1"/>
  <c r="B119" i="5"/>
  <c r="E119" i="5" s="1"/>
  <c r="B120" i="5"/>
  <c r="D120" i="5" s="1"/>
  <c r="B121" i="5"/>
  <c r="D121" i="5" s="1"/>
  <c r="C5" i="5"/>
  <c r="C6" i="5"/>
  <c r="G6" i="5" s="1"/>
  <c r="C7" i="5"/>
  <c r="C8" i="5"/>
  <c r="G8" i="5" s="1"/>
  <c r="C9" i="5"/>
  <c r="G9" i="5" s="1"/>
  <c r="C10" i="5"/>
  <c r="G10" i="5" s="1"/>
  <c r="C11" i="5"/>
  <c r="G11" i="5" s="1"/>
  <c r="C12" i="5"/>
  <c r="G12" i="5" s="1"/>
  <c r="C13" i="5"/>
  <c r="G13" i="5" s="1"/>
  <c r="C14" i="5"/>
  <c r="G14" i="5" s="1"/>
  <c r="C15" i="5"/>
  <c r="C16" i="5"/>
  <c r="G16" i="5" s="1"/>
  <c r="C17" i="5"/>
  <c r="G17" i="5" s="1"/>
  <c r="C18" i="5"/>
  <c r="G18" i="5" s="1"/>
  <c r="C19" i="5"/>
  <c r="G19" i="5" s="1"/>
  <c r="C20" i="5"/>
  <c r="G20" i="5" s="1"/>
  <c r="C21" i="5"/>
  <c r="G21" i="5" s="1"/>
  <c r="C22" i="5"/>
  <c r="G22" i="5" s="1"/>
  <c r="C23" i="5"/>
  <c r="C24" i="5"/>
  <c r="G24" i="5" s="1"/>
  <c r="C25" i="5"/>
  <c r="G25" i="5" s="1"/>
  <c r="C26" i="5"/>
  <c r="G26" i="5" s="1"/>
  <c r="C27" i="5"/>
  <c r="G27" i="5" s="1"/>
  <c r="C28" i="5"/>
  <c r="G28" i="5" s="1"/>
  <c r="C29" i="5"/>
  <c r="G29" i="5" s="1"/>
  <c r="C30" i="5"/>
  <c r="G30" i="5" s="1"/>
  <c r="C31" i="5"/>
  <c r="C32" i="5"/>
  <c r="G32" i="5" s="1"/>
  <c r="C33" i="5"/>
  <c r="G33" i="5" s="1"/>
  <c r="C34" i="5"/>
  <c r="G34" i="5" s="1"/>
  <c r="C35" i="5"/>
  <c r="G35" i="5" s="1"/>
  <c r="C36" i="5"/>
  <c r="G36" i="5" s="1"/>
  <c r="C37" i="5"/>
  <c r="G37" i="5" s="1"/>
  <c r="C38" i="5"/>
  <c r="G38" i="5" s="1"/>
  <c r="C39" i="5"/>
  <c r="C40" i="5"/>
  <c r="G40" i="5" s="1"/>
  <c r="C41" i="5"/>
  <c r="G41" i="5" s="1"/>
  <c r="C42" i="5"/>
  <c r="G42" i="5" s="1"/>
  <c r="C43" i="5"/>
  <c r="G43" i="5" s="1"/>
  <c r="C44" i="5"/>
  <c r="G44" i="5" s="1"/>
  <c r="C45" i="5"/>
  <c r="G45" i="5" s="1"/>
  <c r="C46" i="5"/>
  <c r="G46" i="5" s="1"/>
  <c r="C47" i="5"/>
  <c r="C48" i="5"/>
  <c r="G48" i="5" s="1"/>
  <c r="C49" i="5"/>
  <c r="G49" i="5" s="1"/>
  <c r="C50" i="5"/>
  <c r="G50" i="5" s="1"/>
  <c r="C51" i="5"/>
  <c r="G51" i="5" s="1"/>
  <c r="C52" i="5"/>
  <c r="G52" i="5" s="1"/>
  <c r="C53" i="5"/>
  <c r="C54" i="5"/>
  <c r="G54" i="5" s="1"/>
  <c r="C55" i="5"/>
  <c r="C56" i="5"/>
  <c r="G56" i="5" s="1"/>
  <c r="C57" i="5"/>
  <c r="G57" i="5" s="1"/>
  <c r="C58" i="5"/>
  <c r="G58" i="5" s="1"/>
  <c r="C59" i="5"/>
  <c r="G59" i="5" s="1"/>
  <c r="C60" i="5"/>
  <c r="G60" i="5" s="1"/>
  <c r="C61" i="5"/>
  <c r="G61" i="5" s="1"/>
  <c r="C62" i="5"/>
  <c r="G62" i="5" s="1"/>
  <c r="C63" i="5"/>
  <c r="C64" i="5"/>
  <c r="G64" i="5" s="1"/>
  <c r="C65" i="5"/>
  <c r="G65" i="5" s="1"/>
  <c r="C66" i="5"/>
  <c r="G66" i="5" s="1"/>
  <c r="C67" i="5"/>
  <c r="G67" i="5" s="1"/>
  <c r="C68" i="5"/>
  <c r="G68" i="5" s="1"/>
  <c r="C69" i="5"/>
  <c r="G69" i="5" s="1"/>
  <c r="C70" i="5"/>
  <c r="G70" i="5" s="1"/>
  <c r="C71" i="5"/>
  <c r="C72" i="5"/>
  <c r="G72" i="5" s="1"/>
  <c r="C73" i="5"/>
  <c r="G73" i="5" s="1"/>
  <c r="C74" i="5"/>
  <c r="G74" i="5" s="1"/>
  <c r="C75" i="5"/>
  <c r="G75" i="5" s="1"/>
  <c r="C76" i="5"/>
  <c r="G76" i="5" s="1"/>
  <c r="C77" i="5"/>
  <c r="G77" i="5" s="1"/>
  <c r="C78" i="5"/>
  <c r="G78" i="5" s="1"/>
  <c r="C79" i="5"/>
  <c r="C80" i="5"/>
  <c r="G80" i="5" s="1"/>
  <c r="C81" i="5"/>
  <c r="G81" i="5" s="1"/>
  <c r="C82" i="5"/>
  <c r="G82" i="5" s="1"/>
  <c r="C83" i="5"/>
  <c r="G83" i="5" s="1"/>
  <c r="C84" i="5"/>
  <c r="G84" i="5" s="1"/>
  <c r="C85" i="5"/>
  <c r="C86" i="5"/>
  <c r="G86" i="5" s="1"/>
  <c r="C87" i="5"/>
  <c r="C88" i="5"/>
  <c r="G88" i="5" s="1"/>
  <c r="C89" i="5"/>
  <c r="G89" i="5" s="1"/>
  <c r="C90" i="5"/>
  <c r="G90" i="5" s="1"/>
  <c r="C91" i="5"/>
  <c r="G91" i="5" s="1"/>
  <c r="C92" i="5"/>
  <c r="G92" i="5" s="1"/>
  <c r="C93" i="5"/>
  <c r="G93" i="5" s="1"/>
  <c r="C94" i="5"/>
  <c r="G94" i="5" s="1"/>
  <c r="C95" i="5"/>
  <c r="C96" i="5"/>
  <c r="G96" i="5" s="1"/>
  <c r="C97" i="5"/>
  <c r="G97" i="5" s="1"/>
  <c r="C98" i="5"/>
  <c r="C99" i="5"/>
  <c r="G99" i="5" s="1"/>
  <c r="C100" i="5"/>
  <c r="G100" i="5" s="1"/>
  <c r="C101" i="5"/>
  <c r="C102" i="5"/>
  <c r="G102" i="5" s="1"/>
  <c r="C103" i="5"/>
  <c r="C104" i="5"/>
  <c r="G104" i="5" s="1"/>
  <c r="C105" i="5"/>
  <c r="G105" i="5" s="1"/>
  <c r="C106" i="5"/>
  <c r="C107" i="5"/>
  <c r="G107" i="5" s="1"/>
  <c r="C108" i="5"/>
  <c r="G108" i="5" s="1"/>
  <c r="C109" i="5"/>
  <c r="C110" i="5"/>
  <c r="G110" i="5" s="1"/>
  <c r="C111" i="5"/>
  <c r="C112" i="5"/>
  <c r="C113" i="5"/>
  <c r="G113" i="5" s="1"/>
  <c r="C114" i="5"/>
  <c r="G114" i="5" s="1"/>
  <c r="C115" i="5"/>
  <c r="G115" i="5" s="1"/>
  <c r="C116" i="5"/>
  <c r="G116" i="5" s="1"/>
  <c r="C117" i="5"/>
  <c r="C118" i="5"/>
  <c r="G118" i="5" s="1"/>
  <c r="C119" i="5"/>
  <c r="C120" i="5"/>
  <c r="C121" i="5"/>
  <c r="G121" i="5" s="1"/>
  <c r="D5" i="5"/>
  <c r="D6" i="5"/>
  <c r="D7" i="5"/>
  <c r="D13" i="5"/>
  <c r="D18" i="5"/>
  <c r="D19" i="5"/>
  <c r="D21" i="5"/>
  <c r="D22" i="5"/>
  <c r="D23" i="5"/>
  <c r="D29" i="5"/>
  <c r="D30" i="5"/>
  <c r="D31" i="5"/>
  <c r="D37" i="5"/>
  <c r="D38" i="5"/>
  <c r="D39" i="5"/>
  <c r="D40" i="5"/>
  <c r="D42" i="5"/>
  <c r="D45" i="5"/>
  <c r="D46" i="5"/>
  <c r="D47" i="5"/>
  <c r="D54" i="5"/>
  <c r="D55" i="5"/>
  <c r="D58" i="5"/>
  <c r="D62" i="5"/>
  <c r="D63" i="5"/>
  <c r="D69" i="5"/>
  <c r="D70" i="5"/>
  <c r="D71" i="5"/>
  <c r="D78" i="5"/>
  <c r="D85" i="5"/>
  <c r="D86" i="5"/>
  <c r="D87" i="5"/>
  <c r="D94" i="5"/>
  <c r="D101" i="5"/>
  <c r="D102" i="5"/>
  <c r="D103" i="5"/>
  <c r="D109" i="5"/>
  <c r="D119" i="5"/>
  <c r="E5" i="5"/>
  <c r="E6" i="5"/>
  <c r="E7" i="5"/>
  <c r="E12" i="5"/>
  <c r="E13" i="5"/>
  <c r="E14" i="5"/>
  <c r="E15" i="5"/>
  <c r="E21" i="5"/>
  <c r="E22" i="5"/>
  <c r="E23" i="5"/>
  <c r="E29" i="5"/>
  <c r="E30" i="5"/>
  <c r="E31" i="5"/>
  <c r="E37" i="5"/>
  <c r="E38" i="5"/>
  <c r="E39" i="5"/>
  <c r="E41" i="5"/>
  <c r="E42" i="5"/>
  <c r="E44" i="5"/>
  <c r="E45" i="5"/>
  <c r="E46" i="5"/>
  <c r="E53" i="5"/>
  <c r="E54" i="5"/>
  <c r="E55" i="5"/>
  <c r="E61" i="5"/>
  <c r="E62" i="5"/>
  <c r="E63" i="5"/>
  <c r="E66" i="5"/>
  <c r="E68" i="5"/>
  <c r="E69" i="5"/>
  <c r="E70" i="5"/>
  <c r="E71" i="5"/>
  <c r="E74" i="5"/>
  <c r="E76" i="5"/>
  <c r="E78" i="5"/>
  <c r="E79" i="5"/>
  <c r="E85" i="5"/>
  <c r="E86" i="5"/>
  <c r="E87" i="5"/>
  <c r="E93" i="5"/>
  <c r="E94" i="5"/>
  <c r="E95" i="5"/>
  <c r="E98" i="5"/>
  <c r="E101" i="5"/>
  <c r="E102" i="5"/>
  <c r="E103" i="5"/>
  <c r="E110" i="5"/>
  <c r="E111" i="5"/>
  <c r="E114" i="5"/>
  <c r="E117" i="5"/>
  <c r="E118" i="5"/>
  <c r="F10" i="5"/>
  <c r="H5" i="5"/>
  <c r="H6" i="5"/>
  <c r="H7" i="5"/>
  <c r="H13" i="5"/>
  <c r="H14" i="5"/>
  <c r="H15" i="5"/>
  <c r="H21" i="5"/>
  <c r="H23" i="5"/>
  <c r="H25" i="5"/>
  <c r="H26" i="5"/>
  <c r="H29" i="5"/>
  <c r="H30" i="5"/>
  <c r="H31" i="5"/>
  <c r="H37" i="5"/>
  <c r="H38" i="5"/>
  <c r="H39" i="5"/>
  <c r="H45" i="5"/>
  <c r="H47" i="5"/>
  <c r="H48" i="5"/>
  <c r="H49" i="5"/>
  <c r="H50" i="5"/>
  <c r="H53" i="5"/>
  <c r="H54" i="5"/>
  <c r="H58" i="5"/>
  <c r="H62" i="5"/>
  <c r="H63" i="5"/>
  <c r="H69" i="5"/>
  <c r="H70" i="5"/>
  <c r="H71" i="5"/>
  <c r="H72" i="5"/>
  <c r="H73" i="5"/>
  <c r="H74" i="5"/>
  <c r="H75" i="5"/>
  <c r="H77" i="5"/>
  <c r="H78" i="5"/>
  <c r="H79" i="5"/>
  <c r="H82" i="5"/>
  <c r="H85" i="5"/>
  <c r="H86" i="5"/>
  <c r="H87" i="5"/>
  <c r="H94" i="5"/>
  <c r="H95" i="5"/>
  <c r="H101" i="5"/>
  <c r="H102" i="5"/>
  <c r="H103" i="5"/>
  <c r="H106" i="5"/>
  <c r="H107" i="5"/>
  <c r="H109" i="5"/>
  <c r="H110" i="5"/>
  <c r="H111" i="5"/>
  <c r="H117" i="5"/>
  <c r="H118" i="5"/>
  <c r="H119" i="5"/>
  <c r="B4" i="5"/>
  <c r="D4" i="5" s="1"/>
  <c r="C4" i="5"/>
  <c r="G4" i="5" s="1"/>
  <c r="B3" i="5"/>
  <c r="D3" i="5" s="1"/>
  <c r="C3" i="5"/>
  <c r="G3" i="5" s="1"/>
  <c r="H2" i="4"/>
  <c r="C2" i="4"/>
  <c r="I2" i="3"/>
  <c r="I3" i="3"/>
  <c r="I4" i="3"/>
  <c r="I5" i="3"/>
  <c r="H2" i="3"/>
  <c r="H3" i="3"/>
  <c r="H4" i="3"/>
  <c r="H5" i="3"/>
  <c r="G2" i="3"/>
  <c r="G3" i="3"/>
  <c r="G4" i="3"/>
  <c r="G5" i="3"/>
  <c r="B5" i="3"/>
  <c r="C5" i="3"/>
  <c r="F5" i="3"/>
  <c r="J5" i="3"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B23" i="2"/>
  <c r="B24" i="2"/>
  <c r="B25" i="2"/>
  <c r="B26" i="2"/>
  <c r="B27" i="2"/>
  <c r="B28" i="2"/>
  <c r="B29" i="2"/>
  <c r="B30" i="2"/>
  <c r="B31" i="2"/>
  <c r="B32" i="2"/>
  <c r="B33" i="2"/>
  <c r="B34" i="2"/>
  <c r="B35" i="2"/>
  <c r="B36" i="2"/>
  <c r="B37" i="2"/>
  <c r="B38" i="2"/>
  <c r="B39" i="2"/>
  <c r="B40" i="2"/>
  <c r="B41" i="2"/>
  <c r="B42" i="2"/>
  <c r="B43" i="2"/>
  <c r="B44" i="2"/>
  <c r="B45" i="2"/>
  <c r="B46" i="2"/>
  <c r="B47" i="2"/>
  <c r="B48" i="2"/>
  <c r="C23" i="2"/>
  <c r="M23" i="2" s="1"/>
  <c r="C24" i="2"/>
  <c r="N24" i="2" s="1"/>
  <c r="C25" i="2"/>
  <c r="L25" i="2" s="1"/>
  <c r="C26" i="2"/>
  <c r="L26" i="2" s="1"/>
  <c r="C27" i="2"/>
  <c r="C28" i="2"/>
  <c r="M28" i="2" s="1"/>
  <c r="C29" i="2"/>
  <c r="C30" i="2"/>
  <c r="C31" i="2"/>
  <c r="C32" i="2"/>
  <c r="C33" i="2"/>
  <c r="L33" i="2" s="1"/>
  <c r="C34" i="2"/>
  <c r="L34" i="2" s="1"/>
  <c r="C35" i="2"/>
  <c r="C36" i="2"/>
  <c r="C37" i="2"/>
  <c r="C38" i="2"/>
  <c r="N38" i="2" s="1"/>
  <c r="C39" i="2"/>
  <c r="M39" i="2" s="1"/>
  <c r="C40" i="2"/>
  <c r="C41" i="2"/>
  <c r="L41" i="2" s="1"/>
  <c r="C42" i="2"/>
  <c r="L42" i="2" s="1"/>
  <c r="C43" i="2"/>
  <c r="N43" i="2" s="1"/>
  <c r="C44" i="2"/>
  <c r="N44" i="2" s="1"/>
  <c r="C45" i="2"/>
  <c r="C46" i="2"/>
  <c r="C47" i="2"/>
  <c r="C48" i="2"/>
  <c r="N48" i="2" s="1"/>
  <c r="D23" i="2" a="1"/>
  <c r="D23" i="2" s="1"/>
  <c r="D24" i="2" a="1"/>
  <c r="D24" i="2" s="1"/>
  <c r="D25" i="2" a="1"/>
  <c r="D25" i="2" s="1"/>
  <c r="D26" i="2" a="1"/>
  <c r="D26" i="2" s="1"/>
  <c r="D27" i="2" a="1"/>
  <c r="D27" i="2" s="1"/>
  <c r="D28" i="2" a="1"/>
  <c r="D28" i="2" s="1"/>
  <c r="D29" i="2" a="1"/>
  <c r="D29" i="2" s="1"/>
  <c r="D30" i="2" a="1"/>
  <c r="D30" i="2" s="1"/>
  <c r="D31" i="2" a="1"/>
  <c r="D31" i="2" s="1"/>
  <c r="D32" i="2" a="1"/>
  <c r="D32" i="2" s="1"/>
  <c r="D33" i="2" a="1"/>
  <c r="D33" i="2" s="1"/>
  <c r="D34" i="2" a="1"/>
  <c r="D34" i="2" s="1"/>
  <c r="D35" i="2" a="1"/>
  <c r="D35" i="2" s="1"/>
  <c r="D36" i="2" a="1"/>
  <c r="D36" i="2" s="1"/>
  <c r="D37" i="2" a="1"/>
  <c r="D37" i="2" s="1"/>
  <c r="D38" i="2" a="1"/>
  <c r="D38" i="2" s="1"/>
  <c r="D39" i="2" a="1"/>
  <c r="D39" i="2" s="1"/>
  <c r="D40" i="2" a="1"/>
  <c r="D40" i="2" s="1"/>
  <c r="D41" i="2" a="1"/>
  <c r="D41" i="2" s="1"/>
  <c r="D42" i="2" a="1"/>
  <c r="D42" i="2" s="1"/>
  <c r="D43" i="2" a="1"/>
  <c r="D43" i="2" s="1"/>
  <c r="D44" i="2" a="1"/>
  <c r="D44" i="2" s="1"/>
  <c r="D45" i="2" a="1"/>
  <c r="D45" i="2" s="1"/>
  <c r="D46" i="2" a="1"/>
  <c r="D46" i="2" s="1"/>
  <c r="D47" i="2" a="1"/>
  <c r="D47" i="2" s="1"/>
  <c r="D48" i="2" a="1"/>
  <c r="D48" i="2" s="1"/>
  <c r="E23" i="2" a="1"/>
  <c r="E23" i="2" s="1"/>
  <c r="O23" i="2" s="1"/>
  <c r="E24" i="2" a="1"/>
  <c r="E24" i="2" s="1"/>
  <c r="O24" i="2" s="1"/>
  <c r="E25" i="2" a="1"/>
  <c r="E25" i="2" s="1"/>
  <c r="O25" i="2" s="1"/>
  <c r="E26" i="2" a="1"/>
  <c r="E26" i="2" s="1"/>
  <c r="O26" i="2" s="1"/>
  <c r="E27" i="2" a="1"/>
  <c r="E27" i="2" s="1"/>
  <c r="O27" i="2" s="1"/>
  <c r="E28" i="2" a="1"/>
  <c r="E28" i="2" s="1"/>
  <c r="O28" i="2" s="1"/>
  <c r="E29" i="2" a="1"/>
  <c r="E29" i="2" s="1"/>
  <c r="O29" i="2" s="1"/>
  <c r="E30" i="2" a="1"/>
  <c r="E30" i="2" s="1"/>
  <c r="O30" i="2" s="1"/>
  <c r="E31" i="2" a="1"/>
  <c r="E31" i="2" s="1"/>
  <c r="O31" i="2" s="1"/>
  <c r="E32" i="2" a="1"/>
  <c r="E32" i="2" s="1"/>
  <c r="O32" i="2" s="1"/>
  <c r="E33" i="2" a="1"/>
  <c r="E33" i="2" s="1"/>
  <c r="O33" i="2" s="1"/>
  <c r="E34" i="2" a="1"/>
  <c r="E34" i="2" s="1"/>
  <c r="O34" i="2" s="1"/>
  <c r="E35" i="2" a="1"/>
  <c r="E35" i="2" s="1"/>
  <c r="O35" i="2" s="1"/>
  <c r="E36" i="2" a="1"/>
  <c r="E36" i="2" s="1"/>
  <c r="O36" i="2" s="1"/>
  <c r="E37" i="2" a="1"/>
  <c r="E37" i="2" s="1"/>
  <c r="O37" i="2" s="1"/>
  <c r="E38" i="2" a="1"/>
  <c r="E38" i="2" s="1"/>
  <c r="O38" i="2" s="1"/>
  <c r="E39" i="2" a="1"/>
  <c r="E39" i="2" s="1"/>
  <c r="O39" i="2" s="1"/>
  <c r="E40" i="2" a="1"/>
  <c r="E40" i="2" s="1"/>
  <c r="O40" i="2" s="1"/>
  <c r="E41" i="2" a="1"/>
  <c r="E41" i="2" s="1"/>
  <c r="O41" i="2" s="1"/>
  <c r="E42" i="2" a="1"/>
  <c r="E42" i="2" s="1"/>
  <c r="O42" i="2" s="1"/>
  <c r="E43" i="2" a="1"/>
  <c r="E43" i="2" s="1"/>
  <c r="O43" i="2" s="1"/>
  <c r="E44" i="2" a="1"/>
  <c r="E44" i="2" s="1"/>
  <c r="O44" i="2" s="1"/>
  <c r="E45" i="2" a="1"/>
  <c r="E45" i="2" s="1"/>
  <c r="O45" i="2" s="1"/>
  <c r="E46" i="2" a="1"/>
  <c r="E46" i="2" s="1"/>
  <c r="O46" i="2" s="1"/>
  <c r="E47" i="2" a="1"/>
  <c r="E47" i="2" s="1"/>
  <c r="O47" i="2" s="1"/>
  <c r="E48" i="2" a="1"/>
  <c r="E48" i="2" s="1"/>
  <c r="O48" i="2" s="1"/>
  <c r="F23" i="2"/>
  <c r="F24" i="2"/>
  <c r="F25" i="2"/>
  <c r="F26" i="2"/>
  <c r="F27" i="2"/>
  <c r="F28" i="2"/>
  <c r="F29" i="2"/>
  <c r="F30" i="2"/>
  <c r="F31" i="2"/>
  <c r="F32" i="2"/>
  <c r="F33" i="2"/>
  <c r="F34" i="2"/>
  <c r="F35" i="2"/>
  <c r="F36" i="2"/>
  <c r="F37" i="2"/>
  <c r="F38" i="2"/>
  <c r="F39" i="2"/>
  <c r="F40" i="2"/>
  <c r="F41" i="2"/>
  <c r="F42" i="2"/>
  <c r="F43" i="2"/>
  <c r="F44" i="2"/>
  <c r="F45" i="2"/>
  <c r="F46" i="2"/>
  <c r="F47" i="2"/>
  <c r="F48" i="2"/>
  <c r="G23" i="2"/>
  <c r="G24" i="2"/>
  <c r="G25" i="2"/>
  <c r="G26" i="2"/>
  <c r="N26" i="2" s="1"/>
  <c r="G27" i="2"/>
  <c r="G28" i="2"/>
  <c r="G29" i="2"/>
  <c r="G30" i="2"/>
  <c r="G31" i="2"/>
  <c r="G32" i="2"/>
  <c r="G33" i="2"/>
  <c r="G34" i="2"/>
  <c r="N34" i="2" s="1"/>
  <c r="G35" i="2"/>
  <c r="G36" i="2"/>
  <c r="G37" i="2"/>
  <c r="G38" i="2"/>
  <c r="G39" i="2"/>
  <c r="G40" i="2"/>
  <c r="G41" i="2"/>
  <c r="G42" i="2"/>
  <c r="G43" i="2"/>
  <c r="G44" i="2"/>
  <c r="G45" i="2"/>
  <c r="G46" i="2"/>
  <c r="G47" i="2"/>
  <c r="G48" i="2"/>
  <c r="B3" i="3"/>
  <c r="B4" i="3"/>
  <c r="C3" i="3"/>
  <c r="C4" i="3"/>
  <c r="F3" i="3"/>
  <c r="J3" i="3" s="1"/>
  <c r="F4" i="3"/>
  <c r="J4" i="3" s="1"/>
  <c r="B5" i="2"/>
  <c r="B6" i="2"/>
  <c r="B11" i="2"/>
  <c r="B14" i="2"/>
  <c r="B16" i="2"/>
  <c r="B17" i="2"/>
  <c r="B19" i="2"/>
  <c r="E20" i="2" a="1"/>
  <c r="E20" i="2" s="1"/>
  <c r="O20" i="2" s="1"/>
  <c r="B22" i="2"/>
  <c r="E10" i="2" a="1"/>
  <c r="E10" i="2" s="1"/>
  <c r="O10" i="2" s="1"/>
  <c r="F11" i="2"/>
  <c r="F18" i="2"/>
  <c r="B2" i="3"/>
  <c r="C2" i="3"/>
  <c r="H115" i="5" l="1"/>
  <c r="H104" i="5"/>
  <c r="H80" i="5"/>
  <c r="H57" i="5"/>
  <c r="H34" i="5"/>
  <c r="H24" i="5"/>
  <c r="E121" i="5"/>
  <c r="E96" i="5"/>
  <c r="E72" i="5"/>
  <c r="E50" i="5"/>
  <c r="E40" i="5"/>
  <c r="E20" i="5"/>
  <c r="E10" i="5"/>
  <c r="D114" i="5"/>
  <c r="D81" i="5"/>
  <c r="D27" i="5"/>
  <c r="D16" i="5"/>
  <c r="H90" i="5"/>
  <c r="H56" i="5"/>
  <c r="H33" i="5"/>
  <c r="H10" i="5"/>
  <c r="E120" i="5"/>
  <c r="E106" i="5"/>
  <c r="E84" i="5"/>
  <c r="E48" i="5"/>
  <c r="E18" i="5"/>
  <c r="E9" i="5"/>
  <c r="D112" i="5"/>
  <c r="D96" i="5"/>
  <c r="D80" i="5"/>
  <c r="D66" i="5"/>
  <c r="D26" i="5"/>
  <c r="H112" i="5"/>
  <c r="H89" i="5"/>
  <c r="H32" i="5"/>
  <c r="H9" i="5"/>
  <c r="E105" i="5"/>
  <c r="E81" i="5"/>
  <c r="E60" i="5"/>
  <c r="E28" i="5"/>
  <c r="E17" i="5"/>
  <c r="E8" i="5"/>
  <c r="D64" i="5"/>
  <c r="D24" i="5"/>
  <c r="H121" i="5"/>
  <c r="H88" i="5"/>
  <c r="H41" i="5"/>
  <c r="H8" i="5"/>
  <c r="E104" i="5"/>
  <c r="E16" i="5"/>
  <c r="D90" i="5"/>
  <c r="D34" i="5"/>
  <c r="H120" i="5"/>
  <c r="H98" i="5"/>
  <c r="H64" i="5"/>
  <c r="H17" i="5"/>
  <c r="E56" i="5"/>
  <c r="D88" i="5"/>
  <c r="D32" i="5"/>
  <c r="H97" i="5"/>
  <c r="E33" i="5"/>
  <c r="F9" i="5"/>
  <c r="E25" i="5"/>
  <c r="E97" i="5"/>
  <c r="D105" i="5"/>
  <c r="E49" i="5"/>
  <c r="F60" i="5"/>
  <c r="M42" i="2"/>
  <c r="F37" i="5"/>
  <c r="N30" i="2"/>
  <c r="N41" i="2"/>
  <c r="N39" i="2"/>
  <c r="N33" i="2"/>
  <c r="N32" i="2"/>
  <c r="N23" i="2"/>
  <c r="M41" i="2"/>
  <c r="M33" i="2"/>
  <c r="M24" i="2"/>
  <c r="N31" i="2"/>
  <c r="F74" i="5"/>
  <c r="N36" i="2"/>
  <c r="N28" i="2"/>
  <c r="F34" i="5"/>
  <c r="F13" i="5"/>
  <c r="N27" i="2"/>
  <c r="N35" i="2"/>
  <c r="M44" i="2"/>
  <c r="M43" i="2"/>
  <c r="F96" i="5"/>
  <c r="F33" i="5"/>
  <c r="N40" i="2"/>
  <c r="M38" i="2"/>
  <c r="F29" i="5"/>
  <c r="N46" i="2"/>
  <c r="F73" i="5"/>
  <c r="F25" i="5"/>
  <c r="F61" i="5"/>
  <c r="F21" i="5"/>
  <c r="F45" i="5"/>
  <c r="F99" i="5"/>
  <c r="N42" i="2"/>
  <c r="M48" i="2"/>
  <c r="M25" i="2"/>
  <c r="F89" i="5"/>
  <c r="N45" i="2"/>
  <c r="N29" i="2"/>
  <c r="N37" i="2"/>
  <c r="N47" i="2"/>
  <c r="F114" i="5"/>
  <c r="F58" i="5"/>
  <c r="F50" i="5"/>
  <c r="F82" i="5"/>
  <c r="F72" i="5"/>
  <c r="F80" i="5"/>
  <c r="F48" i="5"/>
  <c r="F8" i="5"/>
  <c r="F6" i="5"/>
  <c r="F42" i="5"/>
  <c r="F40" i="5"/>
  <c r="F11" i="5"/>
  <c r="F26" i="5"/>
  <c r="F18" i="5"/>
  <c r="F49" i="5"/>
  <c r="F121" i="5"/>
  <c r="F24" i="5"/>
  <c r="F20" i="5"/>
  <c r="F104" i="5"/>
  <c r="H65" i="5"/>
  <c r="F97" i="5"/>
  <c r="E57" i="5"/>
  <c r="F84" i="5"/>
  <c r="E73" i="5"/>
  <c r="F113" i="5"/>
  <c r="F81" i="5"/>
  <c r="F57" i="5"/>
  <c r="E82" i="5"/>
  <c r="F64" i="5"/>
  <c r="F56" i="5"/>
  <c r="D93" i="5"/>
  <c r="H61" i="5"/>
  <c r="F66" i="5"/>
  <c r="F32" i="5"/>
  <c r="F16" i="5"/>
  <c r="E77" i="5"/>
  <c r="E36" i="5"/>
  <c r="E52" i="5"/>
  <c r="F46" i="5"/>
  <c r="D89" i="5"/>
  <c r="H113" i="5"/>
  <c r="F68" i="5"/>
  <c r="E113" i="5"/>
  <c r="F90" i="5"/>
  <c r="F100" i="5"/>
  <c r="F69" i="5"/>
  <c r="F120" i="5"/>
  <c r="G120" i="5"/>
  <c r="F119" i="5"/>
  <c r="G119" i="5"/>
  <c r="F117" i="5"/>
  <c r="G117" i="5"/>
  <c r="F112" i="5"/>
  <c r="G112" i="5"/>
  <c r="F111" i="5"/>
  <c r="G111" i="5"/>
  <c r="F109" i="5"/>
  <c r="G109" i="5"/>
  <c r="F106" i="5"/>
  <c r="G106" i="5"/>
  <c r="F103" i="5"/>
  <c r="G103" i="5"/>
  <c r="F101" i="5"/>
  <c r="G101" i="5"/>
  <c r="F98" i="5"/>
  <c r="G98" i="5"/>
  <c r="F95" i="5"/>
  <c r="G95" i="5"/>
  <c r="F87" i="5"/>
  <c r="G87" i="5"/>
  <c r="F85" i="5"/>
  <c r="G85" i="5"/>
  <c r="F79" i="5"/>
  <c r="G79" i="5"/>
  <c r="F71" i="5"/>
  <c r="G71" i="5"/>
  <c r="F63" i="5"/>
  <c r="G63" i="5"/>
  <c r="F55" i="5"/>
  <c r="G55" i="5"/>
  <c r="F53" i="5"/>
  <c r="G53" i="5"/>
  <c r="F47" i="5"/>
  <c r="G47" i="5"/>
  <c r="F39" i="5"/>
  <c r="G39" i="5"/>
  <c r="F31" i="5"/>
  <c r="G31" i="5"/>
  <c r="F23" i="5"/>
  <c r="G23" i="5"/>
  <c r="F15" i="5"/>
  <c r="G15" i="5"/>
  <c r="F7" i="5"/>
  <c r="G7" i="5"/>
  <c r="F5" i="5"/>
  <c r="G5" i="5"/>
  <c r="F65" i="5"/>
  <c r="F22" i="5"/>
  <c r="E92" i="5"/>
  <c r="E65" i="5"/>
  <c r="K40" i="2"/>
  <c r="K32" i="2"/>
  <c r="K24" i="2"/>
  <c r="F17" i="5"/>
  <c r="F92" i="5"/>
  <c r="D35" i="5"/>
  <c r="K48" i="2"/>
  <c r="F67" i="5"/>
  <c r="F43" i="5"/>
  <c r="F19" i="5"/>
  <c r="D75" i="5"/>
  <c r="D83" i="5"/>
  <c r="K46" i="2"/>
  <c r="K38" i="2"/>
  <c r="K30" i="2"/>
  <c r="H91" i="5"/>
  <c r="F93" i="5"/>
  <c r="F77" i="5"/>
  <c r="F52" i="5"/>
  <c r="F41" i="5"/>
  <c r="K44" i="2"/>
  <c r="K36" i="2"/>
  <c r="K28" i="2"/>
  <c r="F38" i="5"/>
  <c r="E99" i="5"/>
  <c r="E67" i="5"/>
  <c r="E59" i="5"/>
  <c r="E51" i="5"/>
  <c r="E43" i="5"/>
  <c r="E19" i="5"/>
  <c r="E11" i="5"/>
  <c r="D11" i="5"/>
  <c r="K23" i="2"/>
  <c r="L40" i="2"/>
  <c r="K45" i="2"/>
  <c r="K37" i="2"/>
  <c r="K29" i="2"/>
  <c r="L32" i="2"/>
  <c r="L24" i="2"/>
  <c r="K43" i="2"/>
  <c r="K35" i="2"/>
  <c r="K27" i="2"/>
  <c r="F105" i="5"/>
  <c r="K47" i="2"/>
  <c r="K39" i="2"/>
  <c r="K31" i="2"/>
  <c r="K42" i="2"/>
  <c r="K34" i="2"/>
  <c r="K26" i="2"/>
  <c r="L48" i="2"/>
  <c r="F12" i="5"/>
  <c r="L47" i="2"/>
  <c r="L39" i="2"/>
  <c r="L31" i="2"/>
  <c r="L23" i="2"/>
  <c r="K41" i="2"/>
  <c r="K33" i="2"/>
  <c r="K25" i="2"/>
  <c r="F107" i="5"/>
  <c r="F91" i="5"/>
  <c r="F83" i="5"/>
  <c r="F75" i="5"/>
  <c r="F35" i="5"/>
  <c r="F27" i="5"/>
  <c r="L46" i="2"/>
  <c r="L38" i="2"/>
  <c r="L30" i="2"/>
  <c r="L45" i="2"/>
  <c r="L37" i="2"/>
  <c r="L29" i="2"/>
  <c r="L44" i="2"/>
  <c r="L36" i="2"/>
  <c r="L28" i="2"/>
  <c r="L43" i="2"/>
  <c r="L35" i="2"/>
  <c r="L27" i="2"/>
  <c r="F116" i="5"/>
  <c r="H52" i="5"/>
  <c r="H44" i="5"/>
  <c r="H36" i="5"/>
  <c r="H28" i="5"/>
  <c r="H20" i="5"/>
  <c r="H12" i="5"/>
  <c r="F28" i="5"/>
  <c r="H59" i="5"/>
  <c r="H51" i="5"/>
  <c r="H43" i="5"/>
  <c r="H35" i="5"/>
  <c r="H27" i="5"/>
  <c r="F108" i="5"/>
  <c r="F88" i="5"/>
  <c r="F76" i="5"/>
  <c r="F36" i="5"/>
  <c r="E107" i="5"/>
  <c r="D91" i="5"/>
  <c r="H67" i="5"/>
  <c r="F44" i="5"/>
  <c r="E115" i="5"/>
  <c r="D99" i="5"/>
  <c r="H83" i="5"/>
  <c r="F115" i="5"/>
  <c r="F51" i="5"/>
  <c r="F14" i="5"/>
  <c r="D60" i="5"/>
  <c r="D12" i="5"/>
  <c r="H46" i="5"/>
  <c r="H22" i="5"/>
  <c r="F59" i="5"/>
  <c r="F30" i="5"/>
  <c r="E116" i="5"/>
  <c r="E108" i="5"/>
  <c r="E100" i="5"/>
  <c r="H116" i="5"/>
  <c r="H108" i="5"/>
  <c r="H100" i="5"/>
  <c r="H92" i="5"/>
  <c r="H84" i="5"/>
  <c r="H76" i="5"/>
  <c r="H68" i="5"/>
  <c r="F118" i="5"/>
  <c r="F110" i="5"/>
  <c r="F102" i="5"/>
  <c r="F94" i="5"/>
  <c r="F86" i="5"/>
  <c r="F78" i="5"/>
  <c r="F70" i="5"/>
  <c r="F62" i="5"/>
  <c r="F54" i="5"/>
  <c r="H4" i="5"/>
  <c r="F4" i="5"/>
  <c r="E4" i="5"/>
  <c r="F3" i="5"/>
  <c r="E3" i="5"/>
  <c r="H3" i="5"/>
  <c r="B2" i="5"/>
  <c r="E2" i="5" s="1"/>
  <c r="C2" i="5"/>
  <c r="G2" i="5" s="1"/>
  <c r="P48" i="2"/>
  <c r="P25" i="2"/>
  <c r="P33" i="2"/>
  <c r="P39" i="2"/>
  <c r="P42" i="2"/>
  <c r="P24" i="2"/>
  <c r="P23" i="2"/>
  <c r="P38" i="2"/>
  <c r="P44" i="2"/>
  <c r="P28" i="2"/>
  <c r="P41" i="2"/>
  <c r="P43" i="2"/>
  <c r="P26" i="2"/>
  <c r="M26" i="2"/>
  <c r="P40" i="2"/>
  <c r="M40" i="2"/>
  <c r="P32" i="2"/>
  <c r="M32" i="2"/>
  <c r="M47" i="2"/>
  <c r="P47" i="2"/>
  <c r="M31" i="2"/>
  <c r="P31" i="2"/>
  <c r="M46" i="2"/>
  <c r="P46" i="2"/>
  <c r="M30" i="2"/>
  <c r="P30" i="2"/>
  <c r="P34" i="2"/>
  <c r="M34" i="2"/>
  <c r="P45" i="2"/>
  <c r="M45" i="2"/>
  <c r="P37" i="2"/>
  <c r="M37" i="2"/>
  <c r="P29" i="2"/>
  <c r="M29" i="2"/>
  <c r="P36" i="2"/>
  <c r="M36" i="2"/>
  <c r="P35" i="2"/>
  <c r="M35" i="2"/>
  <c r="P27" i="2"/>
  <c r="M27" i="2"/>
  <c r="N25" i="2"/>
  <c r="D13" i="2" a="1"/>
  <c r="D13" i="2" s="1"/>
  <c r="C4" i="2"/>
  <c r="D12" i="2" a="1"/>
  <c r="D12" i="2" s="1"/>
  <c r="C18" i="2"/>
  <c r="N18" i="2" s="1"/>
  <c r="C10" i="2"/>
  <c r="C9" i="2"/>
  <c r="C8" i="2"/>
  <c r="C21" i="2"/>
  <c r="C7" i="2"/>
  <c r="C15" i="2"/>
  <c r="G19" i="2"/>
  <c r="G11" i="2"/>
  <c r="G18" i="2"/>
  <c r="F19" i="2"/>
  <c r="B18" i="2"/>
  <c r="D10" i="2" a="1"/>
  <c r="D10" i="2" s="1"/>
  <c r="B10" i="2"/>
  <c r="F10" i="2"/>
  <c r="E18" i="2" a="1"/>
  <c r="E18" i="2" s="1"/>
  <c r="O18" i="2" s="1"/>
  <c r="G22" i="2"/>
  <c r="D22" i="2" a="1"/>
  <c r="D22" i="2" s="1"/>
  <c r="D19" i="2" a="1"/>
  <c r="D19" i="2" s="1"/>
  <c r="D11" i="2" a="1"/>
  <c r="D11" i="2" s="1"/>
  <c r="E19" i="2" a="1"/>
  <c r="E19" i="2" s="1"/>
  <c r="O19" i="2" s="1"/>
  <c r="F12" i="2"/>
  <c r="D18" i="2" a="1"/>
  <c r="D18" i="2" s="1"/>
  <c r="E11" i="2" a="1"/>
  <c r="E11" i="2" s="1"/>
  <c r="O11" i="2" s="1"/>
  <c r="G10" i="2"/>
  <c r="E12" i="2" a="1"/>
  <c r="E12" i="2" s="1"/>
  <c r="O12" i="2" s="1"/>
  <c r="F22" i="2"/>
  <c r="G7" i="2"/>
  <c r="G16" i="2"/>
  <c r="F15" i="2"/>
  <c r="E15" i="2" a="1"/>
  <c r="E15" i="2" s="1"/>
  <c r="O15" i="2" s="1"/>
  <c r="F7" i="2"/>
  <c r="G15" i="2"/>
  <c r="F13" i="2"/>
  <c r="E14" i="2" a="1"/>
  <c r="E14" i="2" s="1"/>
  <c r="O14" i="2" s="1"/>
  <c r="G6" i="2"/>
  <c r="G8" i="2"/>
  <c r="G4" i="2"/>
  <c r="G14" i="2"/>
  <c r="E22" i="2" a="1"/>
  <c r="E22" i="2" s="1"/>
  <c r="O22" i="2" s="1"/>
  <c r="E5" i="2" a="1"/>
  <c r="E5" i="2" s="1"/>
  <c r="O5" i="2" s="1"/>
  <c r="F6" i="2"/>
  <c r="F17" i="2"/>
  <c r="F5" i="2"/>
  <c r="C13" i="2"/>
  <c r="B20" i="2"/>
  <c r="B9" i="2"/>
  <c r="B21" i="2"/>
  <c r="F14" i="2"/>
  <c r="F4" i="2"/>
  <c r="B8" i="2"/>
  <c r="G17" i="2"/>
  <c r="E9" i="2" a="1"/>
  <c r="E9" i="2" s="1"/>
  <c r="O9" i="2" s="1"/>
  <c r="G12" i="2"/>
  <c r="E17" i="2" a="1"/>
  <c r="E17" i="2" s="1"/>
  <c r="O17" i="2" s="1"/>
  <c r="E4" i="2" a="1"/>
  <c r="E4" i="2" s="1"/>
  <c r="O4" i="2" s="1"/>
  <c r="C12" i="2"/>
  <c r="B4" i="2"/>
  <c r="F20" i="2"/>
  <c r="E6" i="2" a="1"/>
  <c r="E6" i="2" s="1"/>
  <c r="O6" i="2" s="1"/>
  <c r="D4" i="2" a="1"/>
  <c r="D4" i="2" s="1"/>
  <c r="G9" i="2"/>
  <c r="F9" i="2"/>
  <c r="D20" i="2" a="1"/>
  <c r="D20" i="2" s="1"/>
  <c r="C22" i="2"/>
  <c r="E16" i="2" a="1"/>
  <c r="E16" i="2" s="1"/>
  <c r="O16" i="2" s="1"/>
  <c r="E8" i="2" a="1"/>
  <c r="E8" i="2" s="1"/>
  <c r="O8" i="2" s="1"/>
  <c r="D16" i="2" a="1"/>
  <c r="D16" i="2" s="1"/>
  <c r="E21" i="2" a="1"/>
  <c r="E21" i="2" s="1"/>
  <c r="O21" i="2" s="1"/>
  <c r="D15" i="2" a="1"/>
  <c r="D15" i="2" s="1"/>
  <c r="G20" i="2"/>
  <c r="F21" i="2"/>
  <c r="D17" i="2" a="1"/>
  <c r="D17" i="2" s="1"/>
  <c r="C20" i="2"/>
  <c r="D21" i="2" a="1"/>
  <c r="D21" i="2" s="1"/>
  <c r="D14" i="2" a="1"/>
  <c r="D14" i="2" s="1"/>
  <c r="D7" i="2" a="1"/>
  <c r="D7" i="2" s="1"/>
  <c r="C17" i="2"/>
  <c r="C6" i="2"/>
  <c r="B13" i="2"/>
  <c r="G21" i="2"/>
  <c r="G13" i="2"/>
  <c r="G5" i="2"/>
  <c r="F16" i="2"/>
  <c r="F8" i="2"/>
  <c r="E13" i="2" a="1"/>
  <c r="E13" i="2" s="1"/>
  <c r="O13" i="2" s="1"/>
  <c r="E7" i="2" a="1"/>
  <c r="E7" i="2" s="1"/>
  <c r="O7" i="2" s="1"/>
  <c r="D6" i="2" a="1"/>
  <c r="D6" i="2" s="1"/>
  <c r="C16" i="2"/>
  <c r="C5" i="2"/>
  <c r="B12" i="2"/>
  <c r="D5" i="2" a="1"/>
  <c r="D5" i="2" s="1"/>
  <c r="C14" i="2"/>
  <c r="D9" i="2" a="1"/>
  <c r="D9" i="2" s="1"/>
  <c r="D8" i="2" a="1"/>
  <c r="D8" i="2" s="1"/>
  <c r="B15" i="2"/>
  <c r="B7" i="2"/>
  <c r="C19" i="2"/>
  <c r="C11" i="2"/>
  <c r="F2" i="3"/>
  <c r="J2" i="3" s="1"/>
  <c r="P18" i="2" l="1"/>
  <c r="M21" i="2"/>
  <c r="N9" i="2"/>
  <c r="M9" i="2"/>
  <c r="N4" i="2"/>
  <c r="N8" i="2"/>
  <c r="M10" i="2"/>
  <c r="N15" i="2"/>
  <c r="H2" i="5"/>
  <c r="F2" i="5"/>
  <c r="D2" i="5"/>
  <c r="P19" i="2"/>
  <c r="N10" i="2"/>
  <c r="L11" i="2"/>
  <c r="K11" i="2"/>
  <c r="L19" i="2"/>
  <c r="K19" i="2"/>
  <c r="L14" i="2"/>
  <c r="K14" i="2"/>
  <c r="L5" i="2"/>
  <c r="K5" i="2"/>
  <c r="L16" i="2"/>
  <c r="K16" i="2"/>
  <c r="L6" i="2"/>
  <c r="K6" i="2"/>
  <c r="L17" i="2"/>
  <c r="K17" i="2"/>
  <c r="L20" i="2"/>
  <c r="K20" i="2"/>
  <c r="L22" i="2"/>
  <c r="K22" i="2"/>
  <c r="L12" i="2"/>
  <c r="K12" i="2"/>
  <c r="L13" i="2"/>
  <c r="K13" i="2"/>
  <c r="L15" i="2"/>
  <c r="K15" i="2"/>
  <c r="L7" i="2"/>
  <c r="K7" i="2"/>
  <c r="L21" i="2"/>
  <c r="K21" i="2"/>
  <c r="L8" i="2"/>
  <c r="K8" i="2"/>
  <c r="L9" i="2"/>
  <c r="K9" i="2"/>
  <c r="L10" i="2"/>
  <c r="K10" i="2"/>
  <c r="L18" i="2"/>
  <c r="K18" i="2"/>
  <c r="L4" i="2"/>
  <c r="K4" i="2"/>
  <c r="N7" i="2"/>
  <c r="P12" i="2"/>
  <c r="P11" i="2"/>
  <c r="P22" i="2"/>
  <c r="M18" i="2"/>
  <c r="P10" i="2"/>
  <c r="P7" i="2"/>
  <c r="P4" i="2"/>
  <c r="P16" i="2"/>
  <c r="N13" i="2"/>
  <c r="M13" i="2"/>
  <c r="P14" i="2"/>
  <c r="P15" i="2"/>
  <c r="P8" i="2"/>
  <c r="P17" i="2"/>
  <c r="P20" i="2"/>
  <c r="M6" i="2"/>
  <c r="M12" i="2"/>
  <c r="N12" i="2"/>
  <c r="M4" i="2"/>
  <c r="P5" i="2"/>
  <c r="M15" i="2"/>
  <c r="P21" i="2"/>
  <c r="M22" i="2"/>
  <c r="N22" i="2"/>
  <c r="N20" i="2"/>
  <c r="M20" i="2"/>
  <c r="N16" i="2"/>
  <c r="M16" i="2"/>
  <c r="N21" i="2"/>
  <c r="N5" i="2"/>
  <c r="P9" i="2"/>
  <c r="M7" i="2"/>
  <c r="M8" i="2"/>
  <c r="P6" i="2"/>
  <c r="M5" i="2"/>
  <c r="N14" i="2"/>
  <c r="M14" i="2"/>
  <c r="N6" i="2"/>
  <c r="P13" i="2"/>
  <c r="N17" i="2"/>
  <c r="M17" i="2"/>
  <c r="N11" i="2"/>
  <c r="M11" i="2"/>
  <c r="N19" i="2"/>
  <c r="M19" i="2"/>
  <c r="B3" i="2"/>
  <c r="C3" i="2"/>
  <c r="C2" i="2"/>
  <c r="K2" i="2" s="1"/>
  <c r="G3" i="2"/>
  <c r="F3" i="2"/>
  <c r="D3" i="2" a="1"/>
  <c r="D3" i="2" s="1"/>
  <c r="D2" i="2" a="1"/>
  <c r="D2" i="2" s="1"/>
  <c r="E2" i="2" a="1"/>
  <c r="E2" i="2" s="1"/>
  <c r="O2" i="2" s="1"/>
  <c r="E3" i="2" a="1"/>
  <c r="E3" i="2" s="1"/>
  <c r="O3" i="2" s="1"/>
  <c r="F2" i="2"/>
  <c r="G2" i="2"/>
  <c r="B2" i="2"/>
  <c r="L2" i="2" l="1"/>
  <c r="L3" i="2"/>
  <c r="K3" i="2"/>
  <c r="M3" i="2"/>
  <c r="B3" i="6"/>
  <c r="C3" i="6" s="1"/>
  <c r="N3" i="2"/>
  <c r="B5" i="6"/>
  <c r="C5" i="6" s="1"/>
  <c r="N2" i="2"/>
  <c r="M2" i="2"/>
  <c r="P3" i="2"/>
  <c r="P2" i="2"/>
  <c r="B4" i="6" l="1"/>
  <c r="C4" i="6"/>
  <c r="B2" i="6"/>
  <c r="C2"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<sst xmlns="http://schemas.openxmlformats.org/spreadsheetml/2006/main" count="4146" uniqueCount="429">
  <si>
    <t>OS</t>
  </si>
  <si>
    <t>Cluster</t>
  </si>
  <si>
    <t>CLUSTER</t>
  </si>
  <si>
    <t>TURBINA</t>
  </si>
  <si>
    <t>CARREIRA</t>
  </si>
  <si>
    <t>DESCRICAO</t>
  </si>
  <si>
    <t>STATUS</t>
  </si>
  <si>
    <t>OBSERVACOES</t>
  </si>
  <si>
    <t>PRIORIDADE</t>
  </si>
  <si>
    <t xml:space="preserve"> TURBINA</t>
  </si>
  <si>
    <t xml:space="preserve"> CLUSTER</t>
  </si>
  <si>
    <t>Turbinas em Risco Alto</t>
  </si>
  <si>
    <t>Ímãs Trocados (Total)</t>
  </si>
  <si>
    <t>Custo Total Estimado</t>
  </si>
  <si>
    <t>Disponibilidade</t>
  </si>
  <si>
    <t>Substituido</t>
  </si>
  <si>
    <t>Garrote</t>
  </si>
  <si>
    <t>Primeiro Ciclo</t>
  </si>
  <si>
    <t>Em Operação</t>
  </si>
  <si>
    <t>Gerador lado upwind apresenta indicios iniciais de oxidação nos ímãs em todas as carreiras, na ultima insperção (04/06/2024). Gerador lado downwind apresenta indicios iniciais de oxidação nos ímãs em todas as carreiras</t>
  </si>
  <si>
    <t>CICLO</t>
  </si>
  <si>
    <t>ANO</t>
  </si>
  <si>
    <t>TURBINAS INSPECIONADAS</t>
  </si>
  <si>
    <t>TURBINAS COM SUBSTITUICAO</t>
  </si>
  <si>
    <t>IMAS TROCADOS TOTAL</t>
  </si>
  <si>
    <t>OXIDACAO BAIXA</t>
  </si>
  <si>
    <t>OXIDACAO MEDIA</t>
  </si>
  <si>
    <t>OXIDACAO ALTA</t>
  </si>
  <si>
    <t>CUSTO TOTAL</t>
  </si>
  <si>
    <t xml:space="preserve"> TOTAL IMAS TROCADOS</t>
  </si>
  <si>
    <t xml:space="preserve"> PRIMEIRA INSPECAO</t>
  </si>
  <si>
    <t xml:space="preserve"> ULTIMA INSPECAO </t>
  </si>
  <si>
    <t xml:space="preserve"> STATUS ATUAL</t>
  </si>
  <si>
    <t xml:space="preserve"> DIAS PARADA ACUMULADOS</t>
  </si>
  <si>
    <t xml:space="preserve"> OXIDACAO BAIXA</t>
  </si>
  <si>
    <t xml:space="preserve"> OXIDACAO MEDIA</t>
  </si>
  <si>
    <t xml:space="preserve"> OXIDACAO ALTA</t>
  </si>
  <si>
    <t xml:space="preserve"> NIVEL RISCO</t>
  </si>
  <si>
    <t xml:space="preserve"> CUSTO ESTIMADO</t>
  </si>
  <si>
    <t xml:space="preserve"> MTBF DIAS</t>
  </si>
  <si>
    <t xml:space="preserve"> MTTR DIAS</t>
  </si>
  <si>
    <t xml:space="preserve"> PROXIMA MANUTENCAO</t>
  </si>
  <si>
    <t>DATA INSPECAO</t>
  </si>
  <si>
    <t>QTD IMAS TROCADOS</t>
  </si>
  <si>
    <t>CICLO INSPECAO</t>
  </si>
  <si>
    <t>DATA SUBSTITUICAO</t>
  </si>
  <si>
    <t>K1DIAS PARADA</t>
  </si>
  <si>
    <t>MES ANO</t>
  </si>
  <si>
    <t>IMAS TROCADOS</t>
  </si>
  <si>
    <t>TURBINAS PARADAS</t>
  </si>
  <si>
    <t>MTBF MES</t>
  </si>
  <si>
    <t>MTTR MES</t>
  </si>
  <si>
    <t>OEE MES</t>
  </si>
  <si>
    <t>TURBINAS AFETADAS</t>
  </si>
  <si>
    <t>TOTAL SUBSTITUICOES</t>
  </si>
  <si>
    <t>CICLO MAIS AFETADO</t>
  </si>
  <si>
    <t>CLUSTER MAIS AFETADO</t>
  </si>
  <si>
    <t>PRIORIDADE MANUTENCAO</t>
  </si>
  <si>
    <t>INDICE FALHA</t>
  </si>
  <si>
    <t>MÉTRICASPRINCIPAIS-COMPLEXOEÓLICOSANTOINÁCIO</t>
  </si>
  <si>
    <t>VALOR</t>
  </si>
  <si>
    <t>TENDÊNCIA</t>
  </si>
  <si>
    <t>PARÂMETRO</t>
  </si>
  <si>
    <t>Risco Alto</t>
  </si>
  <si>
    <t xml:space="preserve"> Custo Por Ima</t>
  </si>
  <si>
    <t xml:space="preserve"> Disponibilidade Meta</t>
  </si>
  <si>
    <t xml:space="preserve"> Eficiencia Meta</t>
  </si>
  <si>
    <t xml:space="preserve"> Imas Meta</t>
  </si>
  <si>
    <t xml:space="preserve"> Custo Meta</t>
  </si>
  <si>
    <t xml:space="preserve"> Dias MTBF Meta </t>
  </si>
  <si>
    <t xml:space="preserve"> Dias MTTR Meta</t>
  </si>
  <si>
    <t>Segundo Ciclo</t>
  </si>
  <si>
    <t>Terceiro Ciclo</t>
  </si>
  <si>
    <t>Santo Inacio III</t>
  </si>
  <si>
    <t>Fora de Operação</t>
  </si>
  <si>
    <t>Gerador lado DownWind e UpWind apresenta indicios de oxidação nos ímãs de todas as carreiras de ímã. Foi realizada a substituição dos imãs das carreiras 56 e 113 (03/04/2025).</t>
  </si>
  <si>
    <t>Gerador lado UpWind apresenta indicios iniciais de oxidação nos ímãs em todas as carreiras. Gerador lado downwind apresenta oxidação severa nos ímãs em todas as carreiras 05, 33 e 120 de ímãs, não passou no gabarito de 04 mm no entre ferro do gerador.</t>
  </si>
  <si>
    <t xml:space="preserve"> Data </t>
  </si>
  <si>
    <t xml:space="preserve"> OS </t>
  </si>
  <si>
    <t xml:space="preserve"> AEG </t>
  </si>
  <si>
    <t xml:space="preserve"> Total_Imas </t>
  </si>
  <si>
    <t>Santo Inacio IV</t>
  </si>
  <si>
    <t>São Raimundo</t>
  </si>
  <si>
    <t/>
  </si>
  <si>
    <t>indicios iniciais de oxidação</t>
  </si>
  <si>
    <t>Troca de Spindle</t>
  </si>
  <si>
    <t>-</t>
  </si>
  <si>
    <t>Ímãs OK</t>
  </si>
  <si>
    <t>Baixo</t>
  </si>
  <si>
    <t>Médio</t>
  </si>
  <si>
    <t>Alto</t>
  </si>
  <si>
    <t>AEG parado, devido a problema de estufamento de imãs, como também realizado troca do modulo 04.</t>
  </si>
  <si>
    <t>Substituido os modulos 2 e 3 do circuito 3. Substituido o modulo 3 do circuito 2. Substituido as calhas dos circuittos 6, 7, 8, 9, 10, 11, 12, 13, 14. Substituido os Imãs das carreiras 10, 11, 17, 23, 57, 58, 77 e 84.</t>
  </si>
  <si>
    <t>Em continuação das atividades: Realizado substituição de Spindle neste período, realizado substituição de 142 ímãs do Gerador. Identificamos 05 módulos do Gerador com necessidade de troca devido os danos causados pelo o estufamento dos ímãs e substituído o modulo 2 do circuito 5. Executado a correção dos módulos com danos superficiais.</t>
  </si>
  <si>
    <t>Curto no Módulo estator circuito 05 do Gerador. Substituido o Modulo Nº 13, substituido as carreiras 35, 67. Por conta de outras falhas no conversor, a intervenção continuou na OS: 70554.</t>
  </si>
  <si>
    <t>Foi realizado a substituição dos Modulos 01 e 04, como também os Imãs das carreiras: 01, 02, 03, 04, 05, 06, 15, 17, 18, 19, 20, 30, 11, 114, 115, 116, 117, 118, 119, 120. A carreira 110, foi substituido por Imãs aproveitados de outras Máquinas. Calhas substituidas nas carreiras: 03, 04, 05, 15, 16, 17, 18, 19, 20.</t>
  </si>
  <si>
    <t>Inspeção nas carreiras de imãs e calhas danificadas,Calhas:  47, 64, 65, 67, 69, 70, 71, 74, 75, 76, 77, 81, 83, 84, 85, 86, 87, 88, 89, 90. Imãs danificados : 06, 47, 64, 65, 67, 69, 70, 71, 74, 75, 76, 77, 78, 81, 82, 83, 84, 85, 86, 87, 88, 89, 90, 91, 93, 110. Substituido os modulos 11.</t>
  </si>
  <si>
    <t>Substituição dos Imãs das carreiras 18, 31, 59, 100 e 113.</t>
  </si>
  <si>
    <t>Gerador lado downwind apresenta indicios iniciais de oxidação nos ímãs em todas as carreiras.</t>
  </si>
  <si>
    <t>Gerador lado downwind apresenta indicios iniciais de oxidação nos ímãs em todas as carreiras. Gerador lado upwind apresenta oxidação severa nas carreiras de ímãs 03, 31, 83 e com indicios de calha metalica de proteção do gerador levantada. porém o gabarito passa com facilidade.</t>
  </si>
  <si>
    <t>Foi realizado a substituição dos Imãs das carreiras 14, 27, 94, 95, 96 e 99. Substituidos os modulos 9 e 7. Realizado a substituição de dois Fusiveis do gabinete U75.</t>
  </si>
  <si>
    <t>Realizado a substituição dos Imãs das carreiras: 56, 57, 58, 61, 63, 64, como também aplicado resina no modulo 02 do circuito 01 que estava com dano na cabeceira.</t>
  </si>
  <si>
    <t>Desplacamento de tinta na estrutura do gerador entre as carreiras 49 e 50 do lado downwind. Calha metalica de proteção do ímã da carreira 07 com pequenas avarias da região frontal. Gerador lado downwind apresenta indicios iniciais de oxidação nos ímãs em todas as carreiras.</t>
  </si>
  <si>
    <t>Carreiras 22 e 23 de ímãs não passou o gabarito de 04 mm no entre ferro do gerador. Calha metalica de proteção do ímã da carreira 45 com pequenas avarias da região frontal.</t>
  </si>
  <si>
    <t>Gerador lado downwind apresenta indicios de oxidação nos ímãs de todas as carreiras. gabarito passa com facilidade. Gerador lado upwind apresenta indicios iniciais de oxidação em todas as carreiras de ímã. Calha metalica de proteção do ímã das carreiras 49 e 56 com pequenas avarias da região frontal</t>
  </si>
  <si>
    <t>Calha metalica de proteção do ímã da carreira 113 com pequenas avarias da região frontal. Gerador lado downwind apresenta indicios iniciais de oxidação nos ímãs em todas as carreiras.</t>
  </si>
  <si>
    <t>Calha metalica de proteção do ímã da carreira 20 com pequenas avarias da região frontal. Gerador lado downwind apresenta indicios iniciais de oxidação nos ímãs em todas as carreiras. Gerador lado upwind apresenta indicios iniciais de oxidação nos ímãs em todas as carreiras.</t>
  </si>
  <si>
    <t>No relatorio de inspeção do primeiro ciclo, foi apontado avaria em todas as calhas na região frontal. Lado DownWind do gerador apresenta indicios de oxidação nos Imãs em todas as carreiras.</t>
  </si>
  <si>
    <t>Houve dificuldade na inspeção devido o gabarito passar entre algumas calhas e outras não devido as emendas das calhas de proteção do estator não estarem totalmente uniforme. porém, gabarito passa na parte inferior de todas as calhas metalica de proteção do ímã. Gerador lado downwind apresenta oxidação em estagio avançado em todas as carreiras de ímã. Gerador lado upwind apresenta oxidação em estagio inicial em todas as carreiras de ímã.</t>
  </si>
  <si>
    <t>No relatorio foi apontado que a calha frontal da carreira 102 estava com avaria na região frontal e com indicios iniciais de oxidação nos lados Upwind e DownWind.</t>
  </si>
  <si>
    <t>Gerador lado upwind apresenta indicios iniciais de oxidação nos ímãs em todas as carreiras. Gerador lado downwind apresenta indicios iniciais de oxidação nos ímãs em todas as carreiras.</t>
  </si>
  <si>
    <t>Encontrado estufamento de ímãs nas carreiras 03,31,33. Inicio de estufamento de ímãs nas carreiras 02,32. Gabarito passa com dificudade. Gerador lado dwind apresenta indicios iniciais de oxidação nos ímãs em todas as carreiras. Gerador lado upwind apresenta indicios iniciais de oxidação nos ímãs em todas as carreiras.</t>
  </si>
  <si>
    <t>Gerador lado downwind apresenta indicios iniciais de oxidação nos ímãs em todas as carreiras</t>
  </si>
  <si>
    <t>No relatorios de inspeção dos Imãs do gerador, foi apontado que os lados UpWind e DownWind apresentam oxidação em todas as carreiras de Imãs.</t>
  </si>
  <si>
    <t>Encontrado estufamento de ímãs nas carreiras 60 e 100. Gerador lado downwind apresenta oxidação nos ímãs em todas as carreiras. Gerador lado upwind apresenta indicios iniciais de oxidação nos ímãs em todas as carreiras.</t>
  </si>
  <si>
    <t>Encontrado estufamento de ímãs nas carreiras 06 e 07. Gerador lado DownWind apresenta inicios de oxidação nos ímãs em todas as carreiras. Gerador lado upwind apresenta indicios iniciais de oxidação nos ímãs em todas as carreiras.</t>
  </si>
  <si>
    <t>Gerador lado upwind apresenta indicios iniciais de oxidação nos ímãs em todas as carreiras.gerador lado downwind apresenta indicios iniciais de desfragmentação do imã n°01 de todas as carreiras. Gerador lado downwind apresenta oxidação avançada no ímã n°01 de todas as carreiras.</t>
  </si>
  <si>
    <t>Encontrado estufamento de ímãs nas carreiras 05, 07, 24 e 51. Encontrado inicio de estufamento de ímã na carreira 06, gabarito passa com dificudade. Gerador lado dwind apresenta indicios iniciais de oxidação nos ímãs em todas as carreiras. Gerador lado upwind apresenta indicios iniciais de oxidação nos ímãs em todas as carreiras. Gerador lado upwind apresenta indicios iniciais de desfragmentação do imã n°10 das carreiras 45, 46, 64, 63.</t>
  </si>
  <si>
    <t>Gerador lado upwind apresenta indicios iniciais de oxidação nos ímãs em todas as carreiras. Gerador lado downwind apresenta indicios iniciais de oxidação nos ímãs em todas as carreiras</t>
  </si>
  <si>
    <t>Gerador lado upwind apresenta oxidação severa em todas as carreira nos ímãs em todas as carreiras. Gerador lado downwind apresenta oxidação severa nos ímãs em todas as carreiras encontrado estufamento de ímãs nas carreiras 02, 52 e 118 de ímãs.</t>
  </si>
  <si>
    <t>Encontrado estufamento de ímãs na carreira 01. Gerador lado dwind apresenta indicios iniciais de oxidação nos ímãs em todas as carreiras. Gerador lado upwind apresenta indicios iniciais de oxidação nos ímãs em todas as carreiras. Calhas metalica de proteção de ímã com deformação mecanica no lado upwind. Calha metalica de proteção de imã da carreira 15 com avaria na parte frontal.</t>
  </si>
  <si>
    <t>Gerador lado upwind apresenta oxidação nos ímãs em todas as carreiras. Gerador lado downwind apresenta oxidação severa nos ímãs em todas as carreiras</t>
  </si>
  <si>
    <t>Gerador lado downwind apresenta indicios iniciais de oxidação nos ímãs em todas as carreiras. Gerador lado upwind apresenta indicios iniciais de oxidação nos ímãs em todas as carreiras.</t>
  </si>
  <si>
    <t>Gerador lado downwind apresenta indicios iniciais de oxidação nos ímãs em todas as carreiras. Gerador lado upwind apresenta indicios iniciais de oxidação nos ímãs em todas as carreiras. Calha de proteção de ímã com avaria na parte frontal nas carreiras 44 e 45.</t>
  </si>
  <si>
    <t>Durante inspeção de rotina para avaliar os ímãs/entreferro no Gerador, em especial nas carreiras 103 e 104. Foi constatado estufamento de ímã nacarreira 103 e 104. Após substituição dos Imãs a turbina foi colocada em operção.</t>
  </si>
  <si>
    <t>Gerador lado upwind apresenta indicios iniciais de oxidação nos ímãs em todas as carreiras. Gerador lado downwind apresenta oxidação nos ímãs em todas as carreiras.</t>
  </si>
  <si>
    <t>Gerador lado DownWind  e UpWind apresenta indicios iniciais de oxidação nos ímãs em todas as carreiras. 13/06/2024</t>
  </si>
  <si>
    <t>Gerador lado upwind apresenta oxidação nos ímãs em todas as carreiras. Gerador lado downwind apresenta indicios iniciais desfragmentação na carreira 11, 15, 21, 49, 66, 80 e 88 de imãs. Gerador lado downwind apresenta oxidação nos ímãs em todas as carreiras. Gerador lado downwind apresenta desfragmentação em estagio avançado na carreira 57, porém, gabarito passa com um pouco de dificuldade.</t>
  </si>
  <si>
    <t>Gerador lado downwind apresenta indicios iniciais de oxidação nos ímãs em todas as carreiras. Gerador lado upwind apresenta indicios iniciais de oxidação nos ímãs em todas as carreiras. Calha de proteção de ímã com avaria na parte frontal nas carreiras 01, 12, 24, 34, 45, 46, 56, 67 e 91.</t>
  </si>
  <si>
    <t>No relatorio de inspeção do primeiro ciclo foi apontado indicios iniciais de oxidação nos lados UpWind e DownWind. Também foi apontado dano nas calhas frontais das carreiras 89 e 102.</t>
  </si>
  <si>
    <t>Encontrado estufamento de ímãs nas carreiras 45, 66 e 78. Inicio de estufamento de ímãs nas carreiras 26 e 64, gabarito passa com dificudade. Gerador lado dwind apresenta oxidação crítica nos ímãs n°10 em todas as carreiras. Gerador lado upwind apresenta indicios iniciais de oxidação nos ímãs em todas as carreiras.</t>
  </si>
  <si>
    <t>Foi realizado a substituição do Spindle, como também de 32 Imãs, porém não foi repassado de quais carreiras.</t>
  </si>
  <si>
    <t>Foi substituido o Spindle, como também substituido 03 Imãs.</t>
  </si>
  <si>
    <t>Gerador lado downwind apresenta indicios iniciais de oxidação nos ímãs em todas as carreirasa carreira de numero 01 são de imas novos porem precisa ser realizado a verificação da calha. Foi substituído as carreiras de imas 10 e 24.</t>
  </si>
  <si>
    <t>Gerador lado dwind apresenta indicios iniciais de oxidação nos ímãs em todas as carreiras. Gerador lado upwind apresenta indicios iniciais de oxidação nos ímãs em todas as carreiras.</t>
  </si>
  <si>
    <t>Sem observações por parte da Equipe WEG.</t>
  </si>
  <si>
    <t>Gerador lado downwind apresenta indicios iniciais de oxidação nos ímãs em todas as carreiras, gerador lado upwind apresenta indicios iniciais de oxidação nos ímãs em todas as carreiras. Calhas de proteção de ímã com avaria na parte frontal nas carreiras 44, 45 e 85. Calha 85 de proteção do ímã lado upwind estava com resistência na passagem do gabarito. Foi realizado procedimento para distanciar e o gabarito passou com facilidade.</t>
  </si>
  <si>
    <t>Gerador lado upwind apresenta indicios iniciais de oxidação nos ímãs em todas as carreiras (19/07/24 ). Gerador lado downwind apresenta indicios iniciais de oxidação nos ímãs em todas as carreiras.</t>
  </si>
  <si>
    <t xml:space="preserve">Foi realizado inspeção visual nos ímãs e também passagem do gabarito de 4mm de altura por 1.000mm de comprimento no entreferro do Gerador e sendo  visualizado que as calhas nº 15 e 39 estão com a calha iniciando  estufamento de ímã ou de calha precisando ser alinhada (engomadas). Tendo a necessidade de uma corretiva programa para correção da passagem do gabarito no entreferros sem dificuldade. - indícios de oxidação nos imãs </t>
  </si>
  <si>
    <t>Foi realizado a substituição do Spindle, como também de 3 Imãs, porém não foi repassado de quais carreiras.</t>
  </si>
  <si>
    <t>Calha metalica de proteção do ímã da carreira 102 com avaria na região frontal. Gerador lado DownWind e UpWind apresenta indicios iniciais de oxidação nos ímãs em todas as carreiras (inspeção realizada na data 27/05/2024).</t>
  </si>
  <si>
    <t>Gerador lado downwind apresenta indicios iniciais de oxidação nos ímãs em todas as carreiras. Gerador lado upwind apresenta indicios iniciais de oxidação nos ímãs em todas as carreiras. Calha de proteção de ímã com avaria na parte frontal nas carreiras 01,12,24,34,45,46,56,67,91.</t>
  </si>
  <si>
    <t>Gerador lado downwind apresenta indicios de oxidação nos ímãs de todas as carreiras, gabarito passa com facilidade (22/05/2024 ). Gerador lado upwind apresenta indicios iniciais de oxidação em todas as carreiras de ímã. Calha metalica de proteção do ímã das carreiras 49, 56 com pequenas avarias da região frontal</t>
  </si>
  <si>
    <t>Gerador lado downwind apresenta indicios iniciais de oxidação nos ímãs em todas as carreiras, a carreira n°35 apresentou dificuldade na passagem do gabarito, porém, foi identificado que a carreira já tem ímãs novos trocado de outra intervenção e observado que a calha metalica de proteção está de forma ondulada devido o evento de estufamento de ímã.</t>
  </si>
  <si>
    <t>Gerador lado downwind apresenta indicios de oxidação nos ímãs de todas as carreiras, gabarito passa com facilidade. Gerador lado upwind apresenta indicios iniciais de oxidação em todas as carreiras de ímã. (10/06/24 ).calha metalica de proteção do ímã das carreiras 5,33 e 120 com pequenas avarias da região frontal</t>
  </si>
  <si>
    <t>Gerador lado downwind apresenta indicios iniciais de oxidação nos ímãs em todas as carreiras. Gerador lado upwind apresenta indicios iniciais de oxidação nos ímãs em todas as carreiras, foi visto na ultima inspeção (03/06/2024).</t>
  </si>
  <si>
    <t>Gerador lado downwind apresenta indicios iniciais de oxidação nos ímãs em todas as carreiras, na passagem do gabarito foi observado uma certa resistência, mas foi visto que não é estufamento de imã.</t>
  </si>
  <si>
    <t>Gerador lado upwind apresenta indicios iniciais de oxidação nos ímãs em todas as carreiras ( inspeção realizada na data 11/06/2024). Gerador lado downwind apresenta oxidação nos ímãs em todas as carreiras.</t>
  </si>
  <si>
    <t>Encontrado ondulação de calha nas carreiras 05, 06,07,24,51. (obs; essas carreiras já foram substituidos os imãs, com isso sendo necessario apenas engomagem. Gerador lado downwind apresenta indicios iniciais de oxidação nos ímãs em todas as carreiras. Gerador lado upwind apresenta indicios iniciais de oxidação nos ímãs em todas as carreiras. (inspeção realizada na data 04/06/2024). Gerador lado upwind apresenta indicios iniciais de desfragmentação do imã n°10 das carreiras 45,46,64,63. (inspeção realizada na data 04/06/2024).</t>
  </si>
  <si>
    <t>gerador lado dowind apresenta inicios de oxidação nos ímãs em todas as carreiras. Gerador lado upwind apresenta indicios iniciais de oxidação nos ímãs em todas as carreiras. (03/06/2024)</t>
  </si>
  <si>
    <t>Obs.: Apontado em relatorio que falta calha de proteção dos Imãs das carreiras 06 a 31.</t>
  </si>
  <si>
    <t>Gerador lado upwind apresenta oxidação nos ímãs em todas as carreiras (14/06/2024). Gerador lado downwind apresenta indicios iniciais desfragmentação na carreira 11, 15, 21, 49, 66, 80 e 88 de imãs (14/06/2024). Gerador lado downwind apresenta oxidação nos ímãs em todas as carreiras (14/06/2024)</t>
  </si>
  <si>
    <t>Carreira 01, com imãs novos. Gerador lado dwind apresenta indicios iniciais de oxidação nos ímãs emtodas as carreiras. Gerador lado upwind apresenta indicios iniciais de oxidação nos ímãs em todas as carreiras. (inspeção realizada na data 05/06/2024). Calhas metalica de proteção de ímã com deformação mecanica no ladoupwind. (inspeção realizada na data 05/06/2024). Substituído a carreira 21 e alinhado as carreiras 12 e 08.</t>
  </si>
  <si>
    <t>Carreiras 22 e 23 com imãs novos. Calha metalica de proteção do ímã da carreira 45 com pequenas avarias da região frontal. Gerador lado upwind apresenta indicios iniciais de oxidação nos ímãs em todas as carreiras (inspeção realizada na data 21/05/2024).</t>
  </si>
  <si>
    <t>Gerador lado upwind apresenta oxidação nos ímãs em todas as carreiras. (inspeção realizada na data 06/06/2024). Gerador lado downwind apresenta oxidação severa nos ímãs em todas as carreiras</t>
  </si>
  <si>
    <t>Gerador lado upwind apresenta indicios iniciais de oxidação nos ímãs em todas as carreiras. Gerador lado downwind apresenta oxidação nos ímãs em todas as carreiras, foi visto na ultima inspeção (29/05/2024). Carreira n°57 e 64 apresentou dificuldade na passagem do gabarito, porém, foi identificado que a carreira já têm ímãs novos trocado de outra intervenção e observado que a calha metalica de proteção está de forma ondulada devido o evento de estufamento de ímã. Foi indetificado algumas calhar danificada do n°56,57,58,61,63 e 64.</t>
  </si>
  <si>
    <t>Gerador lado DownWind e UpWind apresenta indicios de oxidação nos ímãs de todas as carreiras de ímã.</t>
  </si>
  <si>
    <t>Na data 26/11/2024 iniciou-se o processo de substituição do spindle, com isso o gerador passou por uma inspeção/correção. realizada tratamento de oxidação dos imãs, correção das calhas metalicas amassadas.</t>
  </si>
  <si>
    <t>Gerador lado downwind apresenta indicios iniciais de oxidação nos ímãs em todas as carreiras. Gerador lado upwind apresenta indicios iniciais de oxidação nos ímãs em todas as carreiras. (inspeção realizada na data 20/06/2024)</t>
  </si>
  <si>
    <t>Calha metalica de proteção do ímã de todas as carreiras com avarias na região frontal. Gerador lado downwind apresenta indicios iniciais de oxidação nos ímãs em todas as carreiras.</t>
  </si>
  <si>
    <t>Foi realizado inspeção visual nos ímãs e também passagem do gabarito de 4mm de altura por 1.000mm de comprimento no entre ferro do gerador e identificado que a carreira nº01 esta com dificuldade da passagem do gabarito tendo a necessidade de uma corretiva programada o mais breve possível . Indícios de oxidação nas carreiras lado up e donwind. As cabeceira das calhas lado dw estão com pequeno dano na entrada exceto as de nº  46, 47, 54, 55, 56, 57 e 101. Após a identificação na inspeção dos imas, foi identificado que a calha nº01 estava com dificuldade da passagem do gabarito, sendo assim foi realizado a substituição de ímãs da carreira n°01 e consumido 10 unidade de ímã. pós finalização das atividades, foi realizado a conferencia em todas as calhas passando livremente em toda roda polar no final da atividade.</t>
  </si>
  <si>
    <t>Calha metalica de proteção do ímã da carreira 45 com pequenas avarias da região frontal. AEG não pode voltar a operar até a substituição dos ímãs. Gerador lado upwind apresenta indicios iniciais de oxidação nos ímãs em todas as carreiras (inspeção realizada na data 21/05/2024).</t>
  </si>
  <si>
    <t>O AEG apresentou ímãs estufados nas carreiras 90 e 92. Foi realizada a substituição dos imãs das carreiras 90 e 92 (21/03/2025).</t>
  </si>
  <si>
    <t>Gerador lado upwind apresenta indicios iniciais de oxidação nos ímãs em todas as carreiras. (inspeção realizada na data 11/06/2024). Gerador lado downwind apresenta oxidação nos ímãs em todas as carreiras.</t>
  </si>
  <si>
    <t>Gerador lado downwind apresenta indicios iniciais de oxidação nos ímãs em todas as carreiras /entrada das calha com pequeno dano exceto as de nº 46, 47, 54,55,56,57 e 101. Gerador lado upwind apresenta indicios iniciais de oxidação nos ímãs em todas as carreiras.</t>
  </si>
  <si>
    <t>Foi realizada a substituição dos imãs das carreiras 79,80,81 (14/04/2025). 82, 83,93,97,98, 107 (15/04/2025). 108,23,28,29,31, 35 (16/04/2025). 61,74,75 (17/04/2025).</t>
  </si>
  <si>
    <t>O AEG apresentou estufamento nas carreiras 08, 09, 10, 58, 62, 63, 65, 82, 83, 91 e 97. Foi realizada a substituição dos imãs das carreiras 08, 09, 10 e 58 (24/04/2025). 62, 63, 65, 69, 82, 83, 91 e 97 (25/04/2025).</t>
  </si>
  <si>
    <t>Gerador lado UpWind e DownWind apresenta indicios iniciais de oxidação nos ímãs em todas as carreiras</t>
  </si>
  <si>
    <t>Gerador lado upwind apresenta oxidação nos ímãs em todas as carreiras. Gerador lado downwind apresenta oxidação nos ímãs em todas as carreiras</t>
  </si>
  <si>
    <t>Gerador lado upwind apresenta oxidação em todas as carreira nos ímãs. Gerador lado downwind apresenta oxidação  nos ímãs em todas as carreiras. Substituição dos ímãs na carreira 45 de ímãs.</t>
  </si>
  <si>
    <t>📈</t>
  </si>
  <si>
    <t>📉</t>
  </si>
  <si>
    <t>Classificação_Port</t>
  </si>
  <si>
    <t>Classificação_StarPort</t>
  </si>
  <si>
    <t>Classificação_Geral</t>
  </si>
  <si>
    <t>Carreiras</t>
  </si>
  <si>
    <t>AERO</t>
  </si>
  <si>
    <t>DOWNWIND</t>
  </si>
  <si>
    <t>UPWIND</t>
  </si>
  <si>
    <t>RISCO</t>
  </si>
  <si>
    <t>AEG-01</t>
  </si>
  <si>
    <t>AEG-04</t>
  </si>
  <si>
    <t>AEG-14</t>
  </si>
  <si>
    <t>AEG-35</t>
  </si>
  <si>
    <t>AEG-39</t>
  </si>
  <si>
    <t>AEG-41</t>
  </si>
  <si>
    <t>AEG-43</t>
  </si>
  <si>
    <t>AEG-44</t>
  </si>
  <si>
    <t>AEG-45</t>
  </si>
  <si>
    <t>AEG-46</t>
  </si>
  <si>
    <t>AEG-47</t>
  </si>
  <si>
    <t>AEG-05</t>
  </si>
  <si>
    <t>AEG-06</t>
  </si>
  <si>
    <t>AEG-07</t>
  </si>
  <si>
    <t>AEG-20</t>
  </si>
  <si>
    <t>AEG-21</t>
  </si>
  <si>
    <t>AEG-22</t>
  </si>
  <si>
    <t>AEG-23</t>
  </si>
  <si>
    <t>AEG-24</t>
  </si>
  <si>
    <t>AEG-25</t>
  </si>
  <si>
    <t>AEG-26</t>
  </si>
  <si>
    <t>AEG-27</t>
  </si>
  <si>
    <t>AEG-28</t>
  </si>
  <si>
    <t>AEG-29</t>
  </si>
  <si>
    <t>AEG-31</t>
  </si>
  <si>
    <t>AEG-02</t>
  </si>
  <si>
    <t>AEG-03</t>
  </si>
  <si>
    <t>AEG-30</t>
  </si>
  <si>
    <t>AEG-32</t>
  </si>
  <si>
    <t>AEG-33</t>
  </si>
  <si>
    <t>AEG-34</t>
  </si>
  <si>
    <t>AEG-36</t>
  </si>
  <si>
    <t>AEG-37</t>
  </si>
  <si>
    <t>AEG-38</t>
  </si>
  <si>
    <t>AEG-40</t>
  </si>
  <si>
    <t>AEG-42</t>
  </si>
  <si>
    <t>AEG-08</t>
  </si>
  <si>
    <t>AEG-09</t>
  </si>
  <si>
    <t>AEG-10</t>
  </si>
  <si>
    <t>AEG-11</t>
  </si>
  <si>
    <t>AEG-12</t>
  </si>
  <si>
    <t>AEG-13</t>
  </si>
  <si>
    <t>AEG-15</t>
  </si>
  <si>
    <t>AEG-16</t>
  </si>
  <si>
    <t>AEG-17</t>
  </si>
  <si>
    <t>AEG-18</t>
  </si>
  <si>
    <t>AEG-19</t>
  </si>
  <si>
    <t xml:space="preserve">                       </t>
  </si>
  <si>
    <t>🔴</t>
  </si>
  <si>
    <t>🟡</t>
  </si>
  <si>
    <t>🟢</t>
  </si>
  <si>
    <t>C-01</t>
  </si>
  <si>
    <t>C-02</t>
  </si>
  <si>
    <t>C-03</t>
  </si>
  <si>
    <t>C-04</t>
  </si>
  <si>
    <t>C-05</t>
  </si>
  <si>
    <t>C-06</t>
  </si>
  <si>
    <t>C-07</t>
  </si>
  <si>
    <t>C-08</t>
  </si>
  <si>
    <t>C-09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</si>
  <si>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</si>
  <si>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</si>
  <si>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</si>
  <si>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</si>
  <si>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</si>
  <si>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</si>
  <si>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</si>
  <si>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</si>
  <si>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</si>
  <si>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</si>
  <si>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</si>
  <si>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</si>
  <si>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</si>
  <si>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</si>
  <si>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</si>
  <si>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</si>
  <si>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</si>
  <si>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</si>
  <si>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</si>
  <si>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</si>
  <si>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</si>
  <si>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</si>
  <si>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</si>
  <si>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</si>
  <si>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</si>
  <si>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</si>
  <si>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</si>
  <si>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</si>
  <si>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</si>
  <si>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</si>
  <si>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</si>
  <si>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</si>
  <si>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</si>
  <si>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</si>
  <si>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</si>
  <si>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</si>
  <si>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</si>
  <si>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</si>
  <si>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</si>
  <si>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</si>
  <si>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</si>
  <si>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</si>
  <si>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</si>
  <si>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</si>
  <si>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</si>
  <si>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</si>
  <si>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</si>
  <si>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</si>
  <si>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</si>
  <si>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</si>
  <si>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</si>
  <si>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</si>
  <si>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</si>
  <si>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</si>
  <si>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</si>
  <si>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</si>
  <si>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</si>
  <si>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</si>
  <si>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</si>
  <si>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</si>
  <si>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</si>
  <si>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</si>
  <si>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</si>
  <si>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</si>
  <si>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</si>
  <si>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</si>
  <si>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</si>
  <si>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</si>
  <si>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</si>
  <si>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</si>
  <si>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</si>
  <si>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</si>
  <si>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</si>
  <si>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</si>
  <si>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</si>
  <si>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</si>
  <si>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</si>
  <si>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</si>
  <si>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</si>
  <si>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</si>
  <si>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</si>
  <si>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</si>
  <si>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</si>
  <si>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</si>
  <si>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</si>
  <si>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</si>
  <si>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</si>
  <si>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</si>
  <si>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</si>
  <si>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</si>
  <si>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</si>
  <si>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</si>
  <si>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</si>
  <si>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</si>
  <si>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</si>
  <si>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</si>
  <si>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</si>
  <si>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</si>
  <si>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</si>
  <si>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</si>
  <si>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</si>
  <si>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</si>
  <si>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</si>
  <si>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</si>
  <si>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</si>
  <si>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</si>
  <si>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</si>
  <si>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</si>
  <si>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</si>
  <si>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</si>
  <si>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</si>
  <si>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X</t>
  </si>
  <si>
    <t xml:space="preserve"> INDICE -PERFORMANCE</t>
  </si>
  <si>
    <t>% Ímas Trocados</t>
  </si>
  <si>
    <t>ÍMÃS TROCADOS</t>
  </si>
  <si>
    <t>% IMAS TROCADOS</t>
  </si>
  <si>
    <t>% CRITICIDADE DOWIND</t>
  </si>
  <si>
    <t>% CRITICIDADE UPWIND</t>
  </si>
  <si>
    <t>CARREIRAS AFETADAS</t>
  </si>
  <si>
    <t>UTIMA MANUTENÇÃO</t>
  </si>
  <si>
    <t>PROXIMA PREVISÃO</t>
  </si>
  <si>
    <t>Qtd. Carreiras/ 2º Ciclo</t>
  </si>
  <si>
    <t>Qtd. Carreiras/ 3º Ciclo</t>
  </si>
  <si>
    <t>Qtd. Carreiras/ 1º Ciclo</t>
  </si>
  <si>
    <t>Data inspeção</t>
  </si>
  <si>
    <t>AEG</t>
  </si>
  <si>
    <t>Qtd. Imas trocados</t>
  </si>
  <si>
    <t>Carreira</t>
  </si>
  <si>
    <t>Descrição</t>
  </si>
  <si>
    <t>Ciclo de Inspeção</t>
  </si>
  <si>
    <t>Status</t>
  </si>
  <si>
    <t>substituição</t>
  </si>
  <si>
    <t>AEG45</t>
  </si>
  <si>
    <t>AEG33</t>
  </si>
  <si>
    <t>AEG29</t>
  </si>
  <si>
    <t>AEG06</t>
  </si>
  <si>
    <t>AEG35</t>
  </si>
  <si>
    <t>AEG36</t>
  </si>
  <si>
    <t>AEG16</t>
  </si>
  <si>
    <t>AEG18</t>
  </si>
  <si>
    <t>Imãs OK</t>
  </si>
  <si>
    <t>AEG31</t>
  </si>
  <si>
    <t>AEG05</t>
  </si>
  <si>
    <t>AEG34</t>
  </si>
  <si>
    <t>AEG41</t>
  </si>
  <si>
    <t>AEG46</t>
  </si>
  <si>
    <t>AEG47</t>
  </si>
  <si>
    <t>AEG14</t>
  </si>
  <si>
    <t>AEG43</t>
  </si>
  <si>
    <t>AEG04</t>
  </si>
  <si>
    <t>AEG39</t>
  </si>
  <si>
    <t>AEG01</t>
  </si>
  <si>
    <t>AEG17</t>
  </si>
  <si>
    <t>AEG15</t>
  </si>
  <si>
    <t>AEG19</t>
  </si>
  <si>
    <t>AEG08</t>
  </si>
  <si>
    <t>AEG09</t>
  </si>
  <si>
    <t>AEG11</t>
  </si>
  <si>
    <t>AEG10</t>
  </si>
  <si>
    <t>AEG13</t>
  </si>
  <si>
    <t>AEG12</t>
  </si>
  <si>
    <t>AEG24</t>
  </si>
  <si>
    <t>AEG26</t>
  </si>
  <si>
    <t>AEG27</t>
  </si>
  <si>
    <t>AEG20</t>
  </si>
  <si>
    <t>AEG23</t>
  </si>
  <si>
    <t>AEG21</t>
  </si>
  <si>
    <t>AEG07</t>
  </si>
  <si>
    <t>AEG44</t>
  </si>
  <si>
    <t>AEG37</t>
  </si>
  <si>
    <t>AEG40</t>
  </si>
  <si>
    <t>AEG02</t>
  </si>
  <si>
    <t>AEG30</t>
  </si>
  <si>
    <t>AEG32</t>
  </si>
  <si>
    <t>AEG38</t>
  </si>
  <si>
    <t>AEG03</t>
  </si>
  <si>
    <t>AEG42</t>
  </si>
  <si>
    <t>AEG28</t>
  </si>
  <si>
    <t>AEG25</t>
  </si>
  <si>
    <t>AEG22</t>
  </si>
  <si>
    <t>Realizado a substituição do Spindle, como também (1 ímã - C02, 1 ímã - C111, 1 ímã - C55)</t>
  </si>
  <si>
    <t>Realizado a substituição do Spindle, como também realizado a substituição de 1 Ímã, porém não foi repassado a carreira.</t>
  </si>
  <si>
    <t>Realizado a substituição do Spindle, como também (1 ímã - C59, 1 ímã - C71)</t>
  </si>
  <si>
    <t>Quarto Ciclo</t>
  </si>
  <si>
    <t>x</t>
  </si>
  <si>
    <t>Qtd. Carreiras/ 4º Ciclo</t>
  </si>
  <si>
    <t>Foi realizado a inspeção no dia 12/11/25 e realizado a substituição de 10 Ímãs (C67) e 10 Ímãs (C94)</t>
  </si>
  <si>
    <t>Foi realizado a inspeção no dia 03/11/25 e realizado a substituição de 10 Ímãs (C76)</t>
  </si>
  <si>
    <t>Foi realizado a inspeção no dia 05/11/25 e realizado a substituição de 10 Ímãs (C02) no dia 06/11/25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</si>
</sst>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R$&quot;\ * #,##0.00_-;\-&quot;R$&quot;\ * #,##0.00_-;_-&quot;R$&quot;\ * &quot;-&quot;??_-;_-@_-"/>
    <numFmt numFmtId="164" formatCode="0.000"/>
    <numFmt numFmtId="165" formatCode="0.0"/>
    <numFmt numFmtId="166" formatCode="mmm\-yy"/>
    <numFmt numFmtId="167" formatCode="00"/>
    <numFmt numFmtId="168" formatCode="#,##0.0"/>
    <numFmt numFmtId="169" formatCode="mmm/yyyy"/>
  </numFmts>
  <fonts count="9"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6"/>
      <name val="Aptos Narrow"/>
      <family val="2"/>
      <scheme val="minor"/>
    </font>
    <font>
      <sz val="11"/>
      <color theme="6" tint="-0.499984740745262"/>
      <name val="Aptos Narrow"/>
      <family val="2"/>
      <scheme val="minor"/>
    </font>
    <font>
      <u/>
      <sz val="11"/>
      <color theme="1"/>
      <name val="Aptos Narrow"/>
      <family val="2"/>
      <scheme val="minor"/>
    </font>
  </fonts>
  <fills count="7">
    <fill>
      <patternFill patternType="none"/>
    </fill>
    <fill>
      <patternFill patternType="gray125"/>
    </fill>
    <fill>
      <patternFill patternType="solid">
        <fgColor theme="9"/>
        <bgColor theme="9"/>
      </patternFill>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01">
    <xf numFmtId="0" fontId="0" fillId="0" borderId="0" xfId="0"/>
    <xf numFmtId="0" fontId="0" fillId="0" borderId="0" xfId="0" applyAlignment="1">
      <alignment horizontal="center"/>
    </xf>
    <xf numFmtId="2" fontId="0" fillId="0" borderId="0" xfId="0" applyNumberFormat="1"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10" fontId="0" fillId="0" borderId="0" xfId="0" applyNumberFormat="1" applyAlignment="1">
      <alignment horizontal="center"/>
    </xf>
    <xf numFmtId="0" fontId="0" fillId="0" borderId="0" xfId="0" applyAlignment="1">
      <alignment horizontal="right"/>
    </xf>
    <xf numFmtId="0" fontId="0" fillId="0" borderId="1" xfId="0" applyBorder="1"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1" xfId="0" applyBorder="1"/>
    <xf numFmtId="0" fontId="0" fillId="0" borderId="1" xfId="0" applyBorder="1" applyAlignment="1">
      <alignment horizontal="center"/>
    </xf>
    <xf numFmtId="14" fontId="0" fillId="0" borderId="1" xfId="0" applyNumberFormat="1" applyBorder="1" applyAlignment="1">
      <alignment horizontal="center"/>
    </xf>
    <xf numFmtId="10" fontId="0" fillId="0" borderId="1" xfId="0" applyNumberFormat="1" applyBorder="1" applyAlignment="1">
      <alignment horizontal="center"/>
    </xf>
    <xf numFmtId="14" fontId="0" fillId="0" borderId="1" xfId="0" applyNumberFormat="1" applyBorder="1" applyAlignment="1">
      <alignment horizontal="center" vertical="center"/>
    </xf>
    <xf numFmtId="10" fontId="0" fillId="0" borderId="1" xfId="0" applyNumberFormat="1" applyBorder="1" applyAlignment="1">
      <alignment horizontal="center" vertical="center"/>
    </xf>
    <xf numFmtId="167" fontId="0" fillId="0" borderId="1" xfId="0" applyNumberFormat="1" applyBorder="1" applyAlignment="1">
      <alignment horizontal="center" vertical="center"/>
    </xf>
    <xf numFmtId="2" fontId="0" fillId="0" borderId="1" xfId="0" applyNumberFormat="1" applyBorder="1" applyAlignment="1">
      <alignment horizontal="center"/>
    </xf>
    <xf numFmtId="44" fontId="0" fillId="0" borderId="1" xfId="1" applyFont="1" applyBorder="1" applyAlignment="1">
      <alignment horizont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8" xfId="0" applyBorder="1"/>
    <xf numFmtId="0" fontId="0" fillId="0" borderId="1" xfId="0" applyBorder="1" applyAlignment="1">
      <alignment horizontal="right"/>
    </xf>
    <xf numFmtId="0" fontId="0" fillId="0" borderId="9"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165" fontId="0" fillId="0" borderId="1" xfId="0" applyNumberFormat="1" applyBorder="1"/>
    <xf numFmtId="9" fontId="0" fillId="0" borderId="1" xfId="2" applyFont="1" applyBorder="1"/>
    <xf numFmtId="168" fontId="0" fillId="0" borderId="1" xfId="0" applyNumberFormat="1" applyBorder="1"/>
    <xf numFmtId="0" fontId="0" fillId="0" borderId="6" xfId="0" applyBorder="1" applyAlignment="1">
      <alignment horizontal="center"/>
    </xf>
    <xf numFmtId="14" fontId="0" fillId="0" borderId="6" xfId="0" applyNumberFormat="1" applyBorder="1" applyAlignment="1">
      <alignment horizontal="center"/>
    </xf>
    <xf numFmtId="2" fontId="0" fillId="0" borderId="6" xfId="0" applyNumberFormat="1" applyBorder="1" applyAlignment="1">
      <alignment horizontal="center"/>
    </xf>
    <xf numFmtId="10" fontId="0" fillId="0" borderId="6" xfId="0" applyNumberForma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wrapText="1"/>
    </xf>
    <xf numFmtId="44" fontId="0" fillId="0" borderId="1" xfId="1" applyFont="1" applyBorder="1" applyAlignment="1">
      <alignment horizontal="center" vertical="center"/>
    </xf>
    <xf numFmtId="44" fontId="0" fillId="0" borderId="6" xfId="1" applyFont="1" applyBorder="1" applyAlignment="1">
      <alignment horizontal="center"/>
    </xf>
    <xf numFmtId="164" fontId="0" fillId="0" borderId="6" xfId="0" applyNumberFormat="1" applyBorder="1" applyAlignment="1">
      <alignment horizontal="center"/>
    </xf>
    <xf numFmtId="9" fontId="0" fillId="0" borderId="7" xfId="2" applyFont="1" applyBorder="1" applyAlignment="1">
      <alignment horizontal="center"/>
    </xf>
    <xf numFmtId="0" fontId="0" fillId="3" borderId="5" xfId="0" applyFill="1" applyBorder="1" applyAlignment="1">
      <alignment horizontal="center" vertical="center"/>
    </xf>
    <xf numFmtId="0" fontId="0" fillId="0" borderId="6" xfId="0" applyBorder="1" applyAlignment="1">
      <alignment horizontal="center" vertical="center"/>
    </xf>
    <xf numFmtId="0" fontId="0" fillId="0" borderId="9" xfId="0" applyBorder="1"/>
    <xf numFmtId="0" fontId="0" fillId="0" borderId="10" xfId="0" applyBorder="1"/>
    <xf numFmtId="2" fontId="0" fillId="0" borderId="1" xfId="0" applyNumberFormat="1" applyBorder="1" applyAlignment="1">
      <alignment horizontal="right" vertical="center"/>
    </xf>
    <xf numFmtId="2" fontId="0" fillId="0" borderId="1" xfId="0" applyNumberFormat="1" applyBorder="1" applyAlignment="1">
      <alignment horizontal="right"/>
    </xf>
    <xf numFmtId="2" fontId="0" fillId="0" borderId="6" xfId="0" applyNumberFormat="1" applyBorder="1" applyAlignment="1">
      <alignment horizontal="right"/>
    </xf>
    <xf numFmtId="44" fontId="0" fillId="0" borderId="1" xfId="1" applyFont="1" applyBorder="1" applyAlignment="1">
      <alignment horizontal="right"/>
    </xf>
    <xf numFmtId="44" fontId="0" fillId="0" borderId="6" xfId="1" applyFont="1" applyBorder="1"/>
    <xf numFmtId="44" fontId="0" fillId="0" borderId="1" xfId="1" applyFont="1" applyBorder="1"/>
    <xf numFmtId="0" fontId="2" fillId="2" borderId="1" xfId="0" applyFont="1" applyFill="1" applyBorder="1" applyAlignment="1">
      <alignment horizontal="center" vertical="center"/>
    </xf>
    <xf numFmtId="2" fontId="0" fillId="0" borderId="1" xfId="2" applyNumberFormat="1" applyFont="1" applyBorder="1" applyAlignment="1">
      <alignment horizontal="center"/>
    </xf>
    <xf numFmtId="9" fontId="0" fillId="0" borderId="1" xfId="2" applyFont="1" applyBorder="1" applyAlignment="1">
      <alignment horizontal="center"/>
    </xf>
    <xf numFmtId="10" fontId="0" fillId="0" borderId="6" xfId="0" applyNumberFormat="1" applyBorder="1" applyAlignment="1">
      <alignment horizontal="right"/>
    </xf>
    <xf numFmtId="14" fontId="0" fillId="0" borderId="6" xfId="0" applyNumberFormat="1" applyBorder="1" applyAlignment="1">
      <alignment horizontal="center" vertical="center"/>
    </xf>
    <xf numFmtId="167" fontId="0" fillId="0" borderId="6" xfId="0" applyNumberFormat="1" applyBorder="1" applyAlignment="1">
      <alignment horizontal="center" vertical="center"/>
    </xf>
    <xf numFmtId="0" fontId="0" fillId="0" borderId="6" xfId="0" applyBorder="1" applyAlignment="1">
      <alignment horizontal="center" vertical="center" wrapText="1"/>
    </xf>
    <xf numFmtId="0" fontId="0" fillId="0" borderId="1" xfId="0" quotePrefix="1" applyBorder="1" applyAlignment="1">
      <alignment horizontal="center" vertical="center"/>
    </xf>
    <xf numFmtId="0" fontId="0" fillId="0" borderId="3" xfId="0"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xf>
    <xf numFmtId="44" fontId="0" fillId="0" borderId="1" xfId="1" applyFont="1" applyBorder="1" applyAlignment="1">
      <alignment horizontal="right" vertical="center"/>
    </xf>
    <xf numFmtId="44" fontId="0" fillId="0" borderId="6" xfId="1" applyFont="1" applyBorder="1" applyAlignment="1">
      <alignment horizontal="right"/>
    </xf>
    <xf numFmtId="0" fontId="3" fillId="3" borderId="1" xfId="0" applyFont="1" applyFill="1" applyBorder="1" applyAlignment="1">
      <alignment horizontal="left" vertical="center"/>
    </xf>
    <xf numFmtId="164" fontId="0" fillId="0" borderId="1" xfId="0" applyNumberFormat="1" applyBorder="1" applyAlignment="1">
      <alignment horizontal="center"/>
    </xf>
    <xf numFmtId="9" fontId="0" fillId="0" borderId="9" xfId="2" applyFont="1" applyBorder="1" applyAlignment="1">
      <alignment horizontal="center"/>
    </xf>
    <xf numFmtId="169" fontId="0" fillId="0" borderId="0" xfId="0" applyNumberFormat="1" applyAlignment="1">
      <alignment horizontal="center"/>
    </xf>
    <xf numFmtId="166" fontId="6" fillId="4" borderId="5" xfId="0" applyNumberFormat="1" applyFont="1" applyFill="1" applyBorder="1" applyAlignment="1">
      <alignment horizontal="center"/>
    </xf>
    <xf numFmtId="166" fontId="6" fillId="4" borderId="8" xfId="0" applyNumberFormat="1" applyFont="1" applyFill="1" applyBorder="1" applyAlignment="1">
      <alignment horizontal="center"/>
    </xf>
    <xf numFmtId="14" fontId="7" fillId="4" borderId="8" xfId="0" applyNumberFormat="1" applyFont="1" applyFill="1" applyBorder="1" applyAlignment="1">
      <alignment horizontal="center" vertical="center"/>
    </xf>
    <xf numFmtId="0" fontId="7" fillId="4" borderId="9" xfId="0" applyFont="1" applyFill="1" applyBorder="1" applyAlignment="1">
      <alignment horizontal="center" vertical="center"/>
    </xf>
    <xf numFmtId="0" fontId="7" fillId="4" borderId="1" xfId="0" applyFont="1" applyFill="1" applyBorder="1" applyAlignment="1">
      <alignment horizontal="center" vertical="center"/>
    </xf>
    <xf numFmtId="14" fontId="7" fillId="4" borderId="5" xfId="0" applyNumberFormat="1" applyFont="1" applyFill="1" applyBorder="1" applyAlignment="1">
      <alignment horizontal="center" vertical="center"/>
    </xf>
    <xf numFmtId="0" fontId="7" fillId="4" borderId="7" xfId="0" applyFont="1" applyFill="1" applyBorder="1" applyAlignment="1">
      <alignment horizontal="center" vertical="center"/>
    </xf>
    <xf numFmtId="14" fontId="7" fillId="4" borderId="1" xfId="0" applyNumberFormat="1" applyFont="1" applyFill="1" applyBorder="1" applyAlignment="1">
      <alignment horizontal="center" vertical="center"/>
    </xf>
    <xf numFmtId="14" fontId="7" fillId="4" borderId="6" xfId="0" applyNumberFormat="1" applyFont="1" applyFill="1" applyBorder="1" applyAlignment="1">
      <alignment horizontal="center" vertical="center"/>
    </xf>
    <xf numFmtId="0" fontId="7" fillId="4" borderId="6" xfId="0" applyFont="1" applyFill="1" applyBorder="1" applyAlignment="1">
      <alignment horizontal="center" vertical="center"/>
    </xf>
    <xf numFmtId="0" fontId="7" fillId="4" borderId="1" xfId="0" quotePrefix="1" applyFont="1" applyFill="1" applyBorder="1" applyAlignment="1">
      <alignment horizontal="center" vertical="center"/>
    </xf>
    <xf numFmtId="0" fontId="2" fillId="2" borderId="1" xfId="0" applyFont="1" applyFill="1" applyBorder="1" applyAlignment="1">
      <alignment horizontal="center" vertical="center" wrapText="1"/>
    </xf>
    <xf numFmtId="167" fontId="0" fillId="0" borderId="0" xfId="0" applyNumberFormat="1" applyAlignment="1">
      <alignment horizontal="center" vertical="center"/>
    </xf>
    <xf numFmtId="10" fontId="0" fillId="0" borderId="0" xfId="2" applyNumberFormat="1" applyFont="1" applyAlignment="1">
      <alignment horizontal="center" vertical="center"/>
    </xf>
    <xf numFmtId="165" fontId="0" fillId="0" borderId="0" xfId="0" applyNumberFormat="1"/>
    <xf numFmtId="0" fontId="0" fillId="5" borderId="1" xfId="0" applyFill="1" applyBorder="1" applyAlignment="1">
      <alignment horizontal="center" vertical="center"/>
    </xf>
    <xf numFmtId="0" fontId="8" fillId="0" borderId="1" xfId="0" applyFont="1" applyBorder="1" applyAlignment="1">
      <alignment horizontal="center" vertical="center"/>
    </xf>
    <xf numFmtId="10" fontId="0" fillId="0" borderId="0" xfId="0" applyNumberFormat="1" applyAlignment="1">
      <alignment horizontal="center" vertical="center"/>
    </xf>
    <xf numFmtId="14" fontId="0" fillId="5" borderId="1" xfId="0" applyNumberFormat="1" applyFill="1" applyBorder="1" applyAlignment="1">
      <alignment horizontal="center" vertical="center"/>
    </xf>
    <xf numFmtId="0" fontId="0" fillId="5" borderId="6" xfId="0" applyFill="1" applyBorder="1" applyAlignment="1">
      <alignment horizontal="center" vertical="center"/>
    </xf>
    <xf numFmtId="14" fontId="0" fillId="6" borderId="6" xfId="0" applyNumberFormat="1" applyFill="1" applyBorder="1" applyAlignment="1">
      <alignment horizontal="center" vertical="center"/>
    </xf>
    <xf numFmtId="0" fontId="3" fillId="3" borderId="6" xfId="0" applyFont="1" applyFill="1" applyBorder="1" applyAlignment="1">
      <alignment horizontal="left" vertical="center"/>
    </xf>
    <xf numFmtId="0" fontId="0" fillId="0" borderId="5" xfId="0" applyBorder="1" applyAlignment="1">
      <alignment horizontal="center" vertical="center"/>
    </xf>
    <xf numFmtId="44" fontId="0" fillId="0" borderId="6" xfId="1" applyFont="1" applyBorder="1" applyAlignment="1">
      <alignment horizontal="center" vertical="center"/>
    </xf>
    <xf numFmtId="14" fontId="0" fillId="0" borderId="6" xfId="0" applyNumberFormat="1" applyFill="1" applyBorder="1" applyAlignment="1">
      <alignment horizontal="center" vertical="center"/>
    </xf>
    <xf numFmtId="0" fontId="0" fillId="0" borderId="6" xfId="0" applyFill="1" applyBorder="1" applyAlignment="1">
      <alignment horizontal="center" vertical="center"/>
    </xf>
    <xf numFmtId="167" fontId="0" fillId="0" borderId="6" xfId="0" applyNumberFormat="1" applyFill="1" applyBorder="1" applyAlignment="1">
      <alignment horizontal="center" vertical="center"/>
    </xf>
    <xf numFmtId="0" fontId="0" fillId="0" borderId="6" xfId="0" applyFill="1" applyBorder="1" applyAlignment="1">
      <alignment horizontal="center" vertical="center" wrapText="1"/>
    </xf>
    <xf numFmtId="0" fontId="0" fillId="0" borderId="6" xfId="0" applyNumberFormat="1" applyFill="1" applyBorder="1" applyAlignment="1">
      <alignment horizontal="center" vertical="center"/>
    </xf>
  </cellXfs>
  <cellStyles count="3">
    <cellStyle name="Moeda" xfId="1" builtinId="4"/>
    <cellStyle name="Normal" xfId="0" builtinId="0"/>
    <cellStyle name="Porcentagem" xfId="2" builtinId="5"/>
  </cellStyles>
  <dxfs count="413">
    <dxf>
      <fill>
        <patternFill>
          <bgColor rgb="FFFFFF00"/>
        </patternFill>
      </fill>
    </dxf>
    <dxf>
      <fill>
        <patternFill>
          <bgColor theme="6" tint="0.39994506668294322"/>
        </patternFill>
      </fill>
    </dxf>
    <dxf>
      <fill>
        <patternFill>
          <bgColor theme="8" tint="0.59996337778862885"/>
        </patternFill>
      </fill>
    </dxf>
    <dxf>
      <fill>
        <patternFill>
          <bgColor rgb="FFFFFF00"/>
        </patternFill>
      </fill>
    </dxf>
    <dxf>
      <fill>
        <patternFill>
          <bgColor theme="6" tint="0.39994506668294322"/>
        </patternFill>
      </fill>
    </dxf>
    <dxf>
      <fill>
        <patternFill>
          <bgColor theme="8" tint="0.59996337778862885"/>
        </patternFill>
      </fill>
    </dxf>
    <dxf>
      <fill>
        <patternFill>
          <bgColor rgb="FFFFFF00"/>
        </patternFill>
      </fill>
    </dxf>
    <dxf>
      <fill>
        <patternFill>
          <bgColor theme="6" tint="0.39994506668294322"/>
        </patternFill>
      </fill>
    </dxf>
    <dxf>
      <fill>
        <patternFill>
          <bgColor theme="8" tint="0.59996337778862885"/>
        </patternFill>
      </fill>
    </dxf>
    <dxf>
      <font>
        <b/>
        <i val="0"/>
        <color theme="9"/>
      </font>
    </dxf>
    <dxf>
      <font>
        <b/>
        <i val="0"/>
        <color rgb="FFFF0000"/>
      </font>
    </dxf>
    <dxf>
      <font>
        <b/>
        <i val="0"/>
        <color rgb="FFFF0000"/>
      </font>
    </dxf>
    <dxf>
      <font>
        <b/>
        <i val="0"/>
        <color rgb="FFFFC000"/>
      </font>
    </dxf>
    <dxf>
      <font>
        <b/>
        <i val="0"/>
        <color theme="9"/>
      </font>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theme="8" tint="0.59996337778862885"/>
        </patternFill>
      </fill>
    </dxf>
    <dxf>
      <fill>
        <patternFill>
          <bgColor theme="6" tint="0.39994506668294322"/>
        </patternFill>
      </fill>
    </dxf>
    <dxf>
      <font>
        <b/>
        <i val="0"/>
        <color rgb="FFFF0000"/>
      </font>
    </dxf>
    <dxf>
      <font>
        <b/>
        <i val="0"/>
        <color rgb="FFFFC000"/>
      </font>
    </dxf>
    <dxf>
      <font>
        <b/>
        <i val="0"/>
        <color theme="9"/>
      </font>
    </dxf>
    <dxf>
      <font>
        <color theme="0"/>
      </font>
      <fill>
        <patternFill>
          <bgColor rgb="FFFF0000"/>
        </patternFill>
      </fill>
    </dxf>
    <dxf>
      <fill>
        <patternFill>
          <bgColor rgb="FFFF3300"/>
        </patternFill>
      </fill>
    </dxf>
    <dxf>
      <fill>
        <patternFill>
          <bgColor rgb="FFFFC000"/>
        </patternFill>
      </fill>
    </dxf>
    <dxf>
      <fill>
        <patternFill patternType="solid">
          <fgColor auto="1"/>
          <bgColor rgb="FF92D050"/>
        </patternFill>
      </fill>
    </dxf>
    <dxf>
      <font>
        <b/>
        <i val="0"/>
        <color theme="9"/>
      </font>
    </dxf>
    <dxf>
      <font>
        <b/>
        <i val="0"/>
        <color rgb="FFFFC000"/>
      </font>
    </dxf>
    <dxf>
      <font>
        <b/>
        <i val="0"/>
        <color rgb="FFFF0000"/>
      </font>
    </dxf>
    <dxf>
      <font>
        <color theme="0"/>
      </font>
      <fill>
        <patternFill>
          <bgColor rgb="FFFF0000"/>
        </patternFill>
      </fill>
    </dxf>
    <dxf>
      <fill>
        <patternFill>
          <bgColor rgb="FFFFFF00"/>
        </patternFill>
      </fill>
    </dxf>
    <dxf>
      <fill>
        <patternFill>
          <bgColor theme="6" tint="0.39994506668294322"/>
        </patternFill>
      </fill>
    </dxf>
    <dxf>
      <fill>
        <patternFill>
          <bgColor theme="8" tint="0.59996337778862885"/>
        </patternFill>
      </fill>
    </dxf>
    <dxf>
      <numFmt numFmtId="165"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righ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19" formatCode="dd/mm/yyyy"/>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19" formatCode="dd/mm/yyyy"/>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dxf>
    <dxf>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6" tint="-0.499984740745262"/>
        <name val="Aptos Narrow"/>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6" tint="-0.499984740745262"/>
        <name val="Aptos Narrow"/>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theme="6" tint="-0.499984740745262"/>
        <name val="Aptos Narrow"/>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6" tint="-0.499984740745262"/>
        <name val="Aptos Narrow"/>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6" tint="-0.499984740745262"/>
        <name val="Aptos Narrow"/>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6" tint="-0.499984740745262"/>
        <name val="Aptos Narrow"/>
        <family val="2"/>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6" tint="-0.499984740745262"/>
        <name val="Aptos Narrow"/>
        <family val="2"/>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6" tint="-0.499984740745262"/>
        <name val="Aptos Narrow"/>
        <family val="2"/>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6" tint="-0.499984740745262"/>
        <name val="Aptos Narrow"/>
        <family val="2"/>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6" tint="-0.499984740745262"/>
        <name val="Aptos Narrow"/>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6" tint="-0.499984740745262"/>
        <name val="Aptos Narrow"/>
        <family val="2"/>
        <scheme val="minor"/>
      </font>
      <numFmt numFmtId="19" formatCode="dd/mm/yyyy"/>
      <fill>
        <patternFill patternType="solid">
          <fgColor indexed="64"/>
          <bgColor theme="0" tint="-0.1499984740745262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strike val="0"/>
        <outline val="0"/>
        <shadow val="0"/>
        <u val="none"/>
        <vertAlign val="baseline"/>
        <sz val="11"/>
        <color theme="0"/>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34" formatCode="_-&quot;R$&quot;\ * #,##0.00_-;\-&quot;R$&quot;\ * #,##0.00_-;_-&quot;R$&quot;\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7" tint="0.5999938962981048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3" formatCode="0%"/>
      <alignment horizont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2" formatCode="0.00"/>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R$&quot;\ * #,##0.00_-;\-&quot;R$&quot;\ * #,##0.00_-;_-&quot;R$&quot;\ * &quot;-&quot;??_-;_-@_-"/>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6"/>
        <name val="Aptos Narrow"/>
        <family val="2"/>
        <scheme val="minor"/>
      </font>
      <numFmt numFmtId="166" formatCode="mmm\-yy"/>
      <fill>
        <patternFill patternType="solid">
          <fgColor indexed="64"/>
          <bgColor theme="0" tint="-0.14999847407452621"/>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34" formatCode="_-&quot;R$&quot;\ * #,##0.00_-;\-&quot;R$&quot;\ * #,##0.00_-;_-&quot;R$&quot;\ * &quot;-&quot;??_-;_-@_-"/>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7"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font>
      <fill>
        <patternFill patternType="solid">
          <fgColor indexed="64"/>
          <bgColor theme="7" tint="0.5999938962981048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center" vertical="center" textRotation="0" wrapText="1" indent="0" justifyLastLine="0" shrinkToFit="0" readingOrder="0"/>
    </dxf>
    <dxf>
      <numFmt numFmtId="14" formatCode="0.00%"/>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textRotation="0" indent="0" justifyLastLine="0" shrinkToFit="0" readingOrder="0"/>
      <border diagonalUp="0" diagonalDown="0">
        <left style="thin">
          <color indexed="64"/>
        </left>
        <right style="thin">
          <color indexed="64"/>
        </right>
        <top style="thin">
          <color indexed="64"/>
        </top>
        <bottom style="thin">
          <color indexed="64"/>
        </bottom>
      </border>
    </dxf>
    <dxf>
      <numFmt numFmtId="2" formatCode="0.0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right"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right"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readingOrder="0"/>
    </dxf>
    <dxf>
      <border>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7" formatCode="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FF33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0E856C-6607-4D98-BFEB-2BE5F71CA5E8}" name="Tabela1" displayName="Tabela1" ref="A1:N152" totalsRowShown="0" headerRowDxfId="412" dataDxfId="411">
  <autoFilter ref="A1:N152" xr:uid="{800E856C-6607-4D98-BFEB-2BE5F71CA5E8}"/>
  <tableColumns count="14">
    <tableColumn id="1" xr3:uid="{7FCD003E-153F-43DB-AA4A-1676809C7384}" name="DATA INSPECAO" dataDxfId="410"/>
    <tableColumn id="2" xr3:uid="{AEEFCEF7-1215-4625-B285-F7F658E999EF}" name="OS" dataDxfId="409"/>
    <tableColumn id="3" xr3:uid="{22DED7C2-56BB-42C6-BD8E-432A86049675}" name="CLUSTER" dataDxfId="408"/>
    <tableColumn id="4" xr3:uid="{5DF1CE56-9FA1-4522-8603-1F2E0EC093EC}" name="TURBINA" dataDxfId="407"/>
    <tableColumn id="5" xr3:uid="{3C0B586C-F4E2-4151-A6EF-68D0DB2631B8}" name="QTD IMAS TROCADOS" dataDxfId="406"/>
    <tableColumn id="7" xr3:uid="{B48C9A5F-0414-4F69-A3C0-BDFECF8264FC}" name="DESCRICAO" dataDxfId="405"/>
    <tableColumn id="8" xr3:uid="{87494AEA-BE8A-4E32-8B06-238BF1E79DB8}" name="CICLO INSPECAO" dataDxfId="404"/>
    <tableColumn id="9" xr3:uid="{87876F8A-1D15-4144-BCAC-ADF0ACF4390B}" name="STATUS" dataDxfId="403"/>
    <tableColumn id="10" xr3:uid="{0781DD7D-B7F7-44D3-9826-13290DBA36CD}" name="DATA SUBSTITUICAO" dataDxfId="402"/>
    <tableColumn id="11" xr3:uid="{1290D750-5DA2-4B9B-97A8-2E5126B30F38}" name="K1DIAS PARADA" dataDxfId="401"/>
    <tableColumn id="12" xr3:uid="{C56EB845-90F8-4F7C-A965-4AFC9DBAD89D}" name="DOWNWIND" dataDxfId="400"/>
    <tableColumn id="15" xr3:uid="{B7FF9DB3-BD1E-423A-ABF1-0E7EF1CC647A}" name="UPWIND" dataDxfId="399"/>
    <tableColumn id="13" xr3:uid="{69FDC412-3B88-4288-B3BF-EF087B5D6A8C}" name="OBSERVACOES" dataDxfId="398"/>
    <tableColumn id="14" xr3:uid="{AE8CB749-E012-420A-8EE1-3C71105716DC}" name="PRIORIDADE" dataDxfId="397">
      <calculatedColumnFormula>IF(Tabela1[[#This Row],[DATA INSPECAO]]="","",IF(AND($F2="Substituido",J2&gt;0,),"ALTA PRIORIDADE","NORMAL"))</calculatedColumnFormula>
    </tableColumn>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D55B448-2BFA-4489-B9C7-7D9C7001D1A8}" name="Tabela9" displayName="Tabela9" ref="A1:H2" insertRow="1" totalsRowShown="0" headerRowDxfId="396" headerRowBorderDxfId="395" tableBorderDxfId="394" totalsRowBorderDxfId="393">
  <autoFilter ref="A1:H2" xr:uid="{FD55B448-2BFA-4489-B9C7-7D9C7001D1A8}"/>
  <tableColumns count="8">
    <tableColumn id="1" xr3:uid="{97836502-E1DC-4DC7-A72B-FDBB211AEE11}" name=" Data " dataDxfId="392"/>
    <tableColumn id="2" xr3:uid="{BA5EE5EE-B564-4B0F-8C7C-E3C6171D1169}" name=" OS " dataDxfId="391"/>
    <tableColumn id="3" xr3:uid="{36C749CD-C5BC-4ADE-9694-92585629087C}" name=" AEG " dataDxfId="390"/>
    <tableColumn id="4" xr3:uid="{0D4D132D-BE54-48E5-B8D6-F9C470188B08}" name=" Total_Imas " dataDxfId="389"/>
    <tableColumn id="5" xr3:uid="{81F5DAC0-6F67-41B4-9F59-6182EEC90473}" name="Carreiras" dataDxfId="388"/>
    <tableColumn id="7" xr3:uid="{C898380C-27C4-44F5-81D2-C072A9212369}" name="Classificação_Port" dataDxfId="387"/>
    <tableColumn id="8" xr3:uid="{3DB386DB-A0DE-4398-BDFA-39CE262882AA}" name="Classificação_StarPort" dataDxfId="386"/>
    <tableColumn id="9" xr3:uid="{BA11790A-4BC9-4E0A-8567-E8FCA3B63CE2}" name="Classificação_Geral" dataDxfId="385"/>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96D7C8-4F75-42BA-8D79-28E1FD2C8CFD}" name="Tabela2" displayName="Tabela2" ref="A1:P48" insertRowShift="1" totalsRowShown="0" headerRowDxfId="384" dataDxfId="382" headerRowBorderDxfId="383">
  <autoFilter ref="A1:P48" xr:uid="{FE96D7C8-4F75-42BA-8D79-28E1FD2C8CFD}"/>
  <tableColumns count="16">
    <tableColumn id="1" xr3:uid="{CE0AEE9A-B3A7-443A-B5A1-B19CD027B92E}" name=" TURBINA" dataDxfId="381"/>
    <tableColumn id="2" xr3:uid="{955CBFC3-4989-4F2D-AA6E-6CC746CC385D}" name=" CLUSTER" dataDxfId="380">
      <calculatedColumnFormula>IF(Tabela2[[#This Row],[ TURBINA]]="","",_xlfn.XLOOKUP(Tabela2[[#This Row],[ TURBINA]],Tabela1[TURBINA],Tabela1[CLUSTER]))</calculatedColumnFormula>
    </tableColumn>
    <tableColumn id="3" xr3:uid="{37BAFE99-1D77-415F-82D5-8C05081481F8}" name=" TOTAL IMAS TROCADOS" dataDxfId="379">
      <calculatedColumnFormula>IF(Tabela2[[#This Row],[ TURBINA]]="","",SUMIF(Dados_Brutos!D:D,A2,Dados_Brutos!E:E))</calculatedColumnFormula>
    </tableColumn>
    <tableColumn id="4" xr3:uid="{89B28A1E-4AEF-4235-B952-47EE29D5E960}" name=" PRIMEIRA INSPECAO" dataDxfId="378">
      <calculatedColumnFormula array="1">IF(Tabela2[[#This Row],[ TURBINA]]="","",MIN(IF(Dados_Brutos!D:D=Tabela2[[#This Row],[ TURBINA]],Dados_Brutos!A:A)))</calculatedColumnFormula>
    </tableColumn>
    <tableColumn id="5" xr3:uid="{47C215C2-5576-47E2-BAEE-15429400BADE}" name=" ULTIMA INSPECAO " dataDxfId="377">
      <calculatedColumnFormula array="1">IF(Tabela2[[#This Row],[ TURBINA]]="","",MAX(IF(Tabela1[TURBINA] =Tabela2[[#This Row],[ TURBINA]],Tabela1[DATA INSPECAO])))</calculatedColumnFormula>
    </tableColumn>
    <tableColumn id="6" xr3:uid="{9D6203FF-9061-4D0E-B7B6-2C593380DA8D}" name=" STATUS ATUAL" dataDxfId="376">
      <calculatedColumnFormula>IFERROR(INDEX(Dados_Brutos!H:H,MATCH(A2,Dados_Brutos!D:D,0)),"")</calculatedColumnFormula>
    </tableColumn>
    <tableColumn id="7" xr3:uid="{912E4613-32EB-43F7-9DDD-0F518989AE5B}" name=" DIAS PARADA ACUMULADOS" dataDxfId="375">
      <calculatedColumnFormula>IF(Tabela2[[#This Row],[ TURBINA]]="","",SUMIF(Dados_Brutos!D:D,A2,Dados_Brutos!J:J))</calculatedColumnFormula>
    </tableColumn>
    <tableColumn id="8" xr3:uid="{DF170CD5-32F8-4F55-AC9A-3C37DBFE11A8}" name=" OXIDACAO BAIXA" dataDxfId="374">
      <calculatedColumnFormula>IF(Tabela2[[#This Row],[ TURBINA]]="","",COUNTIFS(Dados_Brutos!D:D,A2,Dados_Brutos!K:K,"*Baixo*"))</calculatedColumnFormula>
    </tableColumn>
    <tableColumn id="9" xr3:uid="{24343BBD-E09F-4C74-87B5-E8EB63B72548}" name=" OXIDACAO MEDIA" dataDxfId="373">
      <calculatedColumnFormula>IF(Tabela2[[#This Row],[ TURBINA]]="","",COUNTIFS(Dados_Brutos!D:D,A2,Dados_Brutos!K:K,"*Médio*"))</calculatedColumnFormula>
    </tableColumn>
    <tableColumn id="10" xr3:uid="{8BE18476-6000-4693-BEB6-F308745F68D5}" name=" OXIDACAO ALTA" dataDxfId="372">
      <calculatedColumnFormula>IF(Tabela2[[#This Row],[ TURBINA]]="","",COUNTIFS(Dados_Brutos!D:D,A2,Dados_Brutos!K:K,"*Alto*"))</calculatedColumnFormula>
    </tableColumn>
    <tableColumn id="11" xr3:uid="{A581969B-99F3-412B-9DAA-6F555344E1DB}" name=" NIVEL RISCO" dataDxfId="371">
      <calculatedColumnFormula>IF(Tabela2[[#This Row],[ TURBINA]]="","",IF(AND(C2&gt;20,J2&gt;3),"🟥 ALTO RISCO",IF(AND(C2&gt;10,I2&gt;1),"🟨 MÉDIO RISCO","🟩 BAIXO RISCO")))</calculatedColumnFormula>
    </tableColumn>
    <tableColumn id="12" xr3:uid="{3ED84D74-8013-469C-9F19-813E1310516C}" name=" CUSTO ESTIMADO" dataDxfId="370" dataCellStyle="Moeda">
      <calculatedColumnFormula>Tabela2[[#This Row],[ TOTAL IMAS TROCADOS]]*Config!$B$2</calculatedColumnFormula>
    </tableColumn>
    <tableColumn id="13" xr3:uid="{2C801CD8-C980-43BF-8017-3C9C8181A1DF}" name=" MTBF DIAS" dataDxfId="369">
      <calculatedColumnFormula>IF(C2&gt;0, (TODAY()-D2)/C2, "Sem dados")</calculatedColumnFormula>
    </tableColumn>
    <tableColumn id="14" xr3:uid="{3177BC24-E375-42B6-BA0C-30A64549695F}" name=" MTTR DIAS" dataDxfId="368">
      <calculatedColumnFormula>IF(C2&gt;0, G2/C2, "Sem dados")</calculatedColumnFormula>
    </tableColumn>
    <tableColumn id="15" xr3:uid="{A128C04D-2361-4F66-BA62-92800DB005C2}" name=" PROXIMA MANUTENCAO" dataDxfId="367">
      <calculatedColumnFormula>IFERROR(DATE(YEAR(E2),MONTH(E2)+7,DAY(E2)),"")</calculatedColumnFormula>
    </tableColumn>
    <tableColumn id="16" xr3:uid="{2D6794B5-5CB8-4C77-ACE5-34C091C30585}" name=" INDICE -PERFORMANCE" dataDxfId="366">
      <calculatedColumnFormula>IFERROR(1-(G2/(TODAY()-D2)),"")</calculatedColumnFormula>
    </tableColumn>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A1EEC3-7710-4C8B-969F-2711A40BAB30}" name="Tabela3" displayName="Tabela3" ref="A1:J6" insertRowShift="1" totalsRowShown="0" headerRowDxfId="365" dataDxfId="364">
  <autoFilter ref="A1:J6" xr:uid="{C4A1EEC3-7710-4C8B-969F-2711A40BAB30}"/>
  <tableColumns count="10">
    <tableColumn id="1" xr3:uid="{7F7A50AD-3634-481E-95FC-0C7EA2E100C8}" name="CICLO" dataDxfId="363"/>
    <tableColumn id="2" xr3:uid="{4D18EB98-977F-42EC-B508-D0490344AE4B}" name="ANO" dataDxfId="362">
      <calculatedColumnFormula>IF(A2="Primeiro Ciclo", 2024, IF(A2="Segundo Ciclo", 2024, 2025))</calculatedColumnFormula>
    </tableColumn>
    <tableColumn id="3" xr3:uid="{03DEA596-F760-4A12-B1DE-7D08486012ED}" name="TURBINAS INSPECIONADAS" dataDxfId="361">
      <calculatedColumnFormula>COUNTIF(Dados_Brutos!G:G,A2)</calculatedColumnFormula>
    </tableColumn>
    <tableColumn id="4" xr3:uid="{AC9E9771-0A36-4854-8925-DEF407AFFBD5}" name="TURBINAS COM SUBSTITUICAO" dataDxfId="360">
      <calculatedColumnFormula>COUNTIFS(Dados_Brutos!$G:$G,$A2,Dados_Brutos!$F:$F,"Substituido")</calculatedColumnFormula>
    </tableColumn>
    <tableColumn id="11" xr3:uid="{F8445D1F-3D0D-4039-BD02-11DB5F450A74}" name="TURBINAS PARADAS" dataDxfId="359">
      <calculatedColumnFormula>COUNTIFS(Dados_Brutos!$G:$G,$A2,Dados_Brutos!$H:$H,"Fora de Operação")</calculatedColumnFormula>
    </tableColumn>
    <tableColumn id="5" xr3:uid="{90DEC507-070B-4F76-9D5A-68CE26BC560D}" name="IMAS TROCADOS TOTAL" dataDxfId="358">
      <calculatedColumnFormula>SUMIF(Dados_Brutos!G:G,A2,Dados_Brutos!E:E)</calculatedColumnFormula>
    </tableColumn>
    <tableColumn id="6" xr3:uid="{5A8CD55C-BF04-40C4-BA49-A725CC6D8DF5}" name="OXIDACAO BAIXA" dataDxfId="357">
      <calculatedColumnFormula>COUNTIFS(Dados_Brutos!G:G,A2,Dados_Brutos!K:K,"*Baixo*")</calculatedColumnFormula>
    </tableColumn>
    <tableColumn id="7" xr3:uid="{0640999E-3301-43D0-8A1E-44FDC72257A5}" name="OXIDACAO MEDIA" dataDxfId="356">
      <calculatedColumnFormula>COUNTIFS(Dados_Brutos!G:G,A2,Dados_Brutos!K:K,"*Médio*")</calculatedColumnFormula>
    </tableColumn>
    <tableColumn id="8" xr3:uid="{4B989A48-DA0E-4D96-BA0C-3EB806DEC279}" name="OXIDACAO ALTA" dataDxfId="355">
      <calculatedColumnFormula>COUNTIFS(Dados_Brutos!G:G,A2,Dados_Brutos!K:K,"*Alto*")</calculatedColumnFormula>
    </tableColumn>
    <tableColumn id="10" xr3:uid="{5B64102B-6DB9-4B93-AC1D-80031D77FA11}" name="CUSTO TOTAL" dataDxfId="354" dataCellStyle="Moeda">
      <calculatedColumnFormula>F2*Config!$B$2</calculatedColumnFormula>
    </tableColumn>
  </tableColumns>
  <tableStyleInfo name="TableStyleLight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9D178D-4BDC-4763-AFEA-9A60A5B1D8BA}" name="Tabela4" displayName="Tabela4" ref="A1:J35" totalsRowShown="0" headerRowDxfId="353" dataDxfId="351" headerRowBorderDxfId="352" tableBorderDxfId="350" totalsRowBorderDxfId="349">
  <autoFilter ref="A1:J35" xr:uid="{7E9D178D-4BDC-4763-AFEA-9A60A5B1D8BA}"/>
  <tableColumns count="10">
    <tableColumn id="1" xr3:uid="{82FC6B6B-640D-408B-9DB6-952BD0877DEF}" name="MES ANO" dataDxfId="348"/>
    <tableColumn id="2" xr3:uid="{4053C375-312D-4A87-8DFB-3ACC2E2A96A2}" name="IMAS TROCADOS" dataDxfId="347">
      <calculatedColumnFormula>SUMIFS(Dados_Brutos!E:E,Dados_Brutos!A:A,"&gt;="&amp;DATE(2024,1,1),Dados_Brutos!A:A,"&lt;="&amp;DATE(2025,12,1))</calculatedColumnFormula>
    </tableColumn>
    <tableColumn id="3" xr3:uid="{343FD3B7-E7F0-4D27-AC95-889BD16FFAEF}" name="TURBINAS PARADAS" dataDxfId="346">
      <calculatedColumnFormula>COUNTIFS(Dados_Brutos!A:A,"&gt;="&amp;DATE(2024,1,1),Dados_Brutos!A:A,"&lt;="&amp;DATE(2025,12,31),Dados_Brutos!H:H,"Fora de Operação")</calculatedColumnFormula>
    </tableColumn>
    <tableColumn id="4" xr3:uid="{6CC9D214-35AA-483F-9806-405A4F75E8CF}" name="OXIDACAO BAIXA" dataDxfId="345">
      <calculatedColumnFormula>COUNTIFS(Dados_Brutos!A:A,"&gt;="&amp;$A2,Dados_Brutos!A:A,"&lt;="&amp;EOMONTH($A2,0),Dados_Brutos!K:K,"*Baixo*")</calculatedColumnFormula>
    </tableColumn>
    <tableColumn id="5" xr3:uid="{DD220698-E9A4-497D-AA3A-695DD951E7B1}" name="OXIDACAO MEDIA" dataDxfId="344">
      <calculatedColumnFormula>COUNTIFS(Dados_Brutos!A:A,"&gt;="&amp;$A2,Dados_Brutos!A:A,"&lt;="&amp;EOMONTH($A2,0),Dados_Brutos!K:K,"*Médio*")</calculatedColumnFormula>
    </tableColumn>
    <tableColumn id="6" xr3:uid="{C06D9206-1F3D-4760-84CA-1416D0F23459}" name="OXIDACAO ALTA" dataDxfId="343">
      <calculatedColumnFormula>COUNTIFS(Dados_Brutos!A:A,"&gt;="&amp;$A2,Dados_Brutos!A:A,"&lt;="&amp;EOMONTH($A2,0),Dados_Brutos!K:K,"*Alto*")</calculatedColumnFormula>
    </tableColumn>
    <tableColumn id="7" xr3:uid="{3A0ADF3B-DF40-429B-B882-AE2132396D39}" name="CUSTO TOTAL" dataDxfId="342" dataCellStyle="Moeda">
      <calculatedColumnFormula>B2*Config!$B$2</calculatedColumnFormula>
    </tableColumn>
    <tableColumn id="8" xr3:uid="{92350B02-CA4A-4C5C-82C0-3F2904D82ABF}" name="MTBF MES" dataDxfId="341">
      <calculatedColumnFormula>IF(B2&gt;0, 30/B2, "Sem dados")</calculatedColumnFormula>
    </tableColumn>
    <tableColumn id="9" xr3:uid="{C7B29B76-656C-4750-8103-EEB17307DFD7}" name="MTTR MES" dataDxfId="340">
      <calculatedColumnFormula>IFERROR(AVERAGEIFS(Dados_Brutos!J:J, Dados_Brutos!A:A, "&gt;="&amp;A2, Dados_Brutos!A:A, "&lt;="&amp;EOMONTH(A2,0)),"-")</calculatedColumnFormula>
    </tableColumn>
    <tableColumn id="10" xr3:uid="{8DC97549-FE78-4114-8FBF-E0E6FE31F0BD}" name="OEE MES" dataDxfId="339" dataCellStyle="Porcentagem">
      <calculatedColumnFormula>(1-(SUMIFS(Dados_Brutos!J:J,Dados_Brutos!A:A,"&gt;="&amp;DATE(2024,1,1),Dados_Brutos!A:A,"&lt;="&amp;DATE(2025,12,31))/(47*24*30)))</calculatedColumnFormula>
    </tableColumn>
  </tableColumns>
  <tableStyleInfo name="TableStyleLight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1F03FBC-0F2B-41F4-BC40-B02EB183DC51}" name="Tabela5" displayName="Tabela5" ref="A1:H121" totalsRowShown="0" headerRowDxfId="338" headerRowBorderDxfId="337" tableBorderDxfId="336" totalsRowBorderDxfId="335">
  <autoFilter ref="A1:H121" xr:uid="{91F03FBC-0F2B-41F4-BC40-B02EB183DC51}"/>
  <tableColumns count="8">
    <tableColumn id="1" xr3:uid="{36435265-2FAB-433C-B26C-BE74A39750BB}" name="CARREIRA" dataDxfId="334"/>
    <tableColumn id="2" xr3:uid="{BC9B2B0E-8D1D-4232-BDEA-600C9649E7F6}" name="TURBINAS AFETADAS" dataDxfId="333">
      <calculatedColumnFormula>COUNTIF(Dados_Brutos!#REF!,A2)</calculatedColumnFormula>
    </tableColumn>
    <tableColumn id="3" xr3:uid="{32ED3C10-2F51-426A-86EB-0D7A09CEBBA1}" name="TOTAL SUBSTITUICOES" dataDxfId="332">
      <calculatedColumnFormula>SUMIF(Dados_Brutos!#REF!,A2,Dados_Brutos!E:E)</calculatedColumnFormula>
    </tableColumn>
    <tableColumn id="4" xr3:uid="{0E867001-DE82-4F4A-B350-9C93B32D9F33}" name="CICLO MAIS AFETADO" dataDxfId="331">
      <calculatedColumnFormula>IF(Tabela5[[#This Row],[TURBINAS AFETADAS]]&gt;0, _xlfn.XLOOKUP(Tabela5[[#This Row],[CARREIRA]],Dados_Brutos!#REF!,Dados_Brutos!G:G,"Sem dados",0,-1),"Sem dados")</calculatedColumnFormula>
    </tableColumn>
    <tableColumn id="5" xr3:uid="{C08CFEAF-FD69-486E-88C5-45B60413B062}" name="CLUSTER MAIS AFETADO" dataDxfId="330">
      <calculatedColumnFormula>IF(Tabela5[[#This Row],[TURBINAS AFETADAS]]&gt;0, _xlfn.XLOOKUP(Tabela5[[#This Row],[CARREIRA]],Dados_Brutos!#REF!,Dados_Brutos!C:C,"Sem dados",0,-1),"Sem dados")</calculatedColumnFormula>
    </tableColumn>
    <tableColumn id="6" xr3:uid="{C1376565-CE56-40C2-8923-146311C65F95}" name="PRIORIDADE MANUTENCAO" dataDxfId="329">
      <calculatedColumnFormula>IF(AND(B2&gt;5,C2&gt;20),"🔴 ALTA",IF(AND(B2&gt;3,C2&gt;10),"🟡 MÉDIA","🟢 BAIXA"))</calculatedColumnFormula>
    </tableColumn>
    <tableColumn id="7" xr3:uid="{AD0F09AC-3679-44B4-9465-A72487AE7BD4}" name="CUSTO TOTAL" dataDxfId="328" dataCellStyle="Moeda">
      <calculatedColumnFormula>C2*Config!$B$2</calculatedColumnFormula>
    </tableColumn>
    <tableColumn id="8" xr3:uid="{50C8D200-4BC8-41B5-AF8C-08CC97A67DC5}" name="INDICE FALHA" dataDxfId="327">
      <calculatedColumnFormula>IF(B2&gt;0,C2/B2,0)</calculatedColumnFormula>
    </tableColumn>
  </tableColumns>
  <tableStyleInfo name="TableStyleLight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0BAEB49-21FE-4E38-BF21-643AB0F5B3E2}" name="Tabela16" displayName="Tabela16" ref="A1:EA132" totalsRowShown="0" headerRowDxfId="326" headerRowBorderDxfId="325" tableBorderDxfId="324" totalsRowBorderDxfId="323">
  <autoFilter ref="A1:EA132" xr:uid="{30BAEB49-21FE-4E38-BF21-643AB0F5B3E2}"/>
  <tableColumns count="131">
    <tableColumn id="1" xr3:uid="{1E3CD7E3-7476-43EE-B140-8EDC1338FFEE}" name="DATA INSPECAO" dataDxfId="322"/>
    <tableColumn id="2" xr3:uid="{6C056C4A-3D91-4CF5-90BA-F5952B5369A1}" name="OS" dataDxfId="321"/>
    <tableColumn id="3" xr3:uid="{C78FB6ED-A5BC-4832-979C-EDB082C435E9}" name="CLUSTER" dataDxfId="320"/>
    <tableColumn id="4" xr3:uid="{F0A2E95B-85DD-4839-9D61-BE56F3BBA525}" name="TURBINA" dataDxfId="319"/>
    <tableColumn id="5" xr3:uid="{B09C671B-363B-4459-ADBF-0DF2C3484C3B}" name="QTD IMAS TROCADOS" dataDxfId="318"/>
    <tableColumn id="126" xr3:uid="{9E260392-AD7F-462A-982E-51515694F783}" name="CICLO INSPECAO" dataDxfId="317"/>
    <tableColumn id="127" xr3:uid="{AA1E42C8-B8B5-41DF-A634-08CF2CF22110}" name="Qtd. Carreiras/ 1º Ciclo" dataDxfId="316">
      <calculatedColumnFormula>IF(Tabela16[[#This Row],[CICLO INSPECAO]]="Primeiro Ciclo",COUNTIF(Tabela16[[#This Row],[C-01]:[C-120]],"x"),0)</calculatedColumnFormula>
    </tableColumn>
    <tableColumn id="128" xr3:uid="{BB2BF97E-E0B4-4F60-A3FA-AAF7AD9126B8}" name="Qtd. Carreiras/ 2º Ciclo" dataDxfId="315">
      <calculatedColumnFormula>IF(Tabela16[[#This Row],[CICLO INSPECAO]]="Segundo Ciclo",COUNTIF(Tabela16[[#This Row],[C-01]:[C-120]],"x"),0)</calculatedColumnFormula>
    </tableColumn>
    <tableColumn id="129" xr3:uid="{2F09B45A-9216-4B5F-AFE2-029F89DCA370}" name="Qtd. Carreiras/ 3º Ciclo" dataDxfId="314">
      <calculatedColumnFormula>IF(Tabela16[[#This Row],[CICLO INSPECAO]]="Terceiro Ciclo",COUNTIF(Tabela16[[#This Row],[C-01]:[C-120]],"x"),0)</calculatedColumnFormula>
    </tableColumn>
    <tableColumn id="132" xr3:uid="{AE1743E7-5FAC-45B7-8CE7-A39DEDDDD828}" name="Qtd. Carreiras/ 4º Ciclo" dataDxfId="313">
      <calculatedColumnFormula>IF(Tabela16[[#This Row],[CICLO INSPECAO]]="Quarto Ciclo",COUNTIF(Tabela16[[#This Row],[C-01]:[C-120]],"x"),0)</calculatedColumnFormula>
    </tableColumn>
    <tableColumn id="130" xr3:uid="{553D7961-5EB6-400B-B034-C7F72A2C2A8C}" name="Troca de Spindle" dataDxfId="312">
      <calculatedColumnFormula>IF(Tabela16[[#This Row],[CICLO INSPECAO]]="Troca de Spindle",COUNTIF(Tabela16[[#This Row],[C-01]:[C-120]],"x"),0)</calculatedColumnFormula>
    </tableColumn>
    <tableColumn id="6" xr3:uid="{4525EA52-EECC-4DCF-BB3D-CAFB139FDFFF}" name="C-01" dataDxfId="311"/>
    <tableColumn id="7" xr3:uid="{F1037BD1-6617-4FFB-AEF2-C4B16031ACCA}" name="C-02" dataDxfId="310"/>
    <tableColumn id="8" xr3:uid="{30B6BBCF-CCB1-4010-BFAB-6EF6AAFDA9A1}" name="C-03" dataDxfId="309"/>
    <tableColumn id="9" xr3:uid="{0C0777FB-CFE7-47B0-90BB-E2E8A11E2FA5}" name="C-04" dataDxfId="308"/>
    <tableColumn id="10" xr3:uid="{0F7B80A8-7439-447D-BF73-779B815C6BE3}" name="C-05" dataDxfId="307"/>
    <tableColumn id="11" xr3:uid="{B0F63778-6020-434F-BA1C-9AABD208237E}" name="C-06" dataDxfId="306"/>
    <tableColumn id="12" xr3:uid="{CD536FFE-5B55-428A-B08B-1F7A1DBC0D79}" name="C-07" dataDxfId="305"/>
    <tableColumn id="13" xr3:uid="{C7CEFA12-EC4E-4B6E-A188-3E5A29C81519}" name="C-08" dataDxfId="304"/>
    <tableColumn id="14" xr3:uid="{DBE5DEBC-9D4B-428E-8699-AB686EBDDD35}" name="C-09" dataDxfId="303"/>
    <tableColumn id="15" xr3:uid="{1E5AD952-F0C1-4CDC-88C0-E30A37358E0D}" name="C-10" dataDxfId="302"/>
    <tableColumn id="16" xr3:uid="{2F96F186-C909-4625-95B8-F26CA85AD234}" name="C-11" dataDxfId="301"/>
    <tableColumn id="17" xr3:uid="{E8BA372C-6CA2-4BBA-A1A1-685764E379FE}" name="C-12" dataDxfId="300"/>
    <tableColumn id="18" xr3:uid="{A360CA1F-3EE6-4966-BA0F-CCFA4B55B3B0}" name="C-13" dataDxfId="299"/>
    <tableColumn id="19" xr3:uid="{AA7D4DD5-04FC-45E9-AC8C-B5EF1B7249BA}" name="C-14" dataDxfId="298"/>
    <tableColumn id="20" xr3:uid="{30FB6A68-25E0-47E9-9C04-EC5306A0C66A}" name="C-15" dataDxfId="297"/>
    <tableColumn id="21" xr3:uid="{F46C867C-14C7-4EB9-9460-01683F5F3210}" name="C-16" dataDxfId="296"/>
    <tableColumn id="22" xr3:uid="{81E31816-BD00-4595-8ECE-A6E2508B06D8}" name="C-17" dataDxfId="295"/>
    <tableColumn id="23" xr3:uid="{1AEE4684-2918-49C3-958C-9B54604BF700}" name="C-18" dataDxfId="294"/>
    <tableColumn id="24" xr3:uid="{8247D39A-9B8B-4E4A-8873-EBA3D27F2C7C}" name="C-19" dataDxfId="293"/>
    <tableColumn id="25" xr3:uid="{8D9C0BBF-4D68-4BC9-82ED-4B6334CD1B12}" name="C-20" dataDxfId="292"/>
    <tableColumn id="26" xr3:uid="{57A2D3C8-29E1-4177-AE14-2DD60CF4B74F}" name="C-21" dataDxfId="291"/>
    <tableColumn id="27" xr3:uid="{1728B4CE-8E2B-4E4F-ADC3-51B8B17CFD47}" name="C-22" dataDxfId="290"/>
    <tableColumn id="28" xr3:uid="{10ABD968-C536-4AD8-A646-6AF2BBB8B860}" name="C-23" dataDxfId="289"/>
    <tableColumn id="29" xr3:uid="{36548FC7-0918-4B60-A7D1-D2C534772B95}" name="C-24" dataDxfId="288"/>
    <tableColumn id="30" xr3:uid="{2CD6028D-6E9C-4650-A667-5C551EFB9B81}" name="C-25" dataDxfId="287"/>
    <tableColumn id="31" xr3:uid="{FD8FF189-4CE3-45EC-8D54-8B13425CE252}" name="C-26" dataDxfId="286"/>
    <tableColumn id="32" xr3:uid="{74D07901-2D65-4EA7-A835-10D33AC6BFBD}" name="C-27" dataDxfId="285"/>
    <tableColumn id="33" xr3:uid="{A53048E7-14C5-4006-9DCF-1E18F612C4ED}" name="C-28" dataDxfId="284"/>
    <tableColumn id="34" xr3:uid="{755CF4E0-B944-47D4-ACFD-DBA1F7C00A61}" name="C-29" dataDxfId="283"/>
    <tableColumn id="35" xr3:uid="{360C1791-AC1F-47A8-8702-E2F3A66F9FF8}" name="C-30" dataDxfId="282"/>
    <tableColumn id="36" xr3:uid="{A0F76110-4881-4C67-AC30-65135C303D4E}" name="C-31" dataDxfId="281"/>
    <tableColumn id="37" xr3:uid="{8BC4A6F5-B63F-43B0-9EDB-5FB77277D544}" name="C-32" dataDxfId="280"/>
    <tableColumn id="38" xr3:uid="{12F0BA77-5A11-44EA-92B7-512548FB2EFD}" name="C-33" dataDxfId="279"/>
    <tableColumn id="39" xr3:uid="{7655F25B-DB39-4AC1-86D9-BDD3AE373656}" name="C-34" dataDxfId="278"/>
    <tableColumn id="40" xr3:uid="{F2EFAF9B-15F6-499D-B9CE-D9CDB6F77E2E}" name="C-35" dataDxfId="277"/>
    <tableColumn id="41" xr3:uid="{36CAF285-CCAD-4BA7-8925-AA9E1CCE9078}" name="C-36" dataDxfId="276"/>
    <tableColumn id="42" xr3:uid="{CEC668A2-EFFA-4604-A1E3-DB04298D0C96}" name="C-37" dataDxfId="275"/>
    <tableColumn id="43" xr3:uid="{129B89F5-11D6-48A9-B3E0-BC889A31FC7B}" name="C-38" dataDxfId="274"/>
    <tableColumn id="44" xr3:uid="{047E8EEC-DA40-4F78-A080-1FCE2E049787}" name="C-39" dataDxfId="273"/>
    <tableColumn id="45" xr3:uid="{0D47CA6C-00EB-416F-A908-E2AA57996F0D}" name="C-40" dataDxfId="272"/>
    <tableColumn id="46" xr3:uid="{42671B9B-BA8C-4E3E-A22A-535379A95098}" name="C-41" dataDxfId="271"/>
    <tableColumn id="47" xr3:uid="{91A87D68-F792-4545-AE49-0E0171156C96}" name="C-42" dataDxfId="270"/>
    <tableColumn id="48" xr3:uid="{9F88BD81-D1CE-438D-90FC-BD692971D7D2}" name="C-43" dataDxfId="269"/>
    <tableColumn id="49" xr3:uid="{4F0A2F55-A6E4-42DE-8D9C-8F7784ABE620}" name="C-44" dataDxfId="268"/>
    <tableColumn id="50" xr3:uid="{8F3FEB23-FF2D-4937-A5DF-E65ED2C8CDA9}" name="C-45" dataDxfId="267"/>
    <tableColumn id="51" xr3:uid="{157A48F8-8368-4367-A03F-C7F7A25CBE24}" name="C-46" dataDxfId="266"/>
    <tableColumn id="52" xr3:uid="{106CB715-37C0-43ED-99EA-52D9FE2B4BDF}" name="C-47" dataDxfId="265"/>
    <tableColumn id="53" xr3:uid="{6A08F279-010A-42AA-9FC6-00139C4A8795}" name="C-48" dataDxfId="264"/>
    <tableColumn id="54" xr3:uid="{CE96CB82-F87E-491E-A2E2-D1451ADAF953}" name="C-49" dataDxfId="263"/>
    <tableColumn id="55" xr3:uid="{A8C96A6F-90E7-4E9F-B42E-65C1966ADE02}" name="C-50" dataDxfId="262"/>
    <tableColumn id="56" xr3:uid="{30BC612B-F1FC-43DC-BC81-E45F434FEA82}" name="C-51" dataDxfId="261"/>
    <tableColumn id="57" xr3:uid="{38E28D40-F4CA-43D2-923D-924C4EB7DE32}" name="C-52" dataDxfId="260"/>
    <tableColumn id="58" xr3:uid="{FE290B1E-192F-4576-819C-2F6CEE221F28}" name="C-53" dataDxfId="259"/>
    <tableColumn id="59" xr3:uid="{9FC97CC4-D5C9-41EC-82B5-BC8A961B42BD}" name="C-54" dataDxfId="258"/>
    <tableColumn id="60" xr3:uid="{225C3698-92B1-4B7A-AE07-455700FD1BBE}" name="C-55" dataDxfId="257"/>
    <tableColumn id="61" xr3:uid="{228C8A38-2EA1-46EF-9BA4-D95EA739C35D}" name="C-56" dataDxfId="256"/>
    <tableColumn id="62" xr3:uid="{5A686B73-6DE4-4588-B8F0-8E7F9856F414}" name="C-57" dataDxfId="255"/>
    <tableColumn id="63" xr3:uid="{C276D94A-1CDE-43D9-9ADD-101B92D42E59}" name="C-58" dataDxfId="254"/>
    <tableColumn id="64" xr3:uid="{47371603-84DE-4AA4-B6AD-43FAE08D53BB}" name="C-59" dataDxfId="253"/>
    <tableColumn id="65" xr3:uid="{A47927A6-A1AF-4865-B49E-67C83CB81209}" name="C-60" dataDxfId="252"/>
    <tableColumn id="66" xr3:uid="{B0F0AD28-8048-4E78-BEAD-855F65A3CC4A}" name="C-61" dataDxfId="251"/>
    <tableColumn id="67" xr3:uid="{BA6B9A2F-3861-4E40-A6E9-4F5CC67D0154}" name="C-62" dataDxfId="250"/>
    <tableColumn id="68" xr3:uid="{FD6405C4-DF8E-4907-BC51-FC27703625BA}" name="C-63" dataDxfId="249"/>
    <tableColumn id="69" xr3:uid="{48828535-5D46-487A-93E9-331F0D4BF0DC}" name="C-64" dataDxfId="248"/>
    <tableColumn id="70" xr3:uid="{85B1F667-83D9-4D34-A02E-E095C7F34209}" name="C-65" dataDxfId="247"/>
    <tableColumn id="71" xr3:uid="{F97FB1BF-6416-4520-9CA5-A17855A2434C}" name="C-66" dataDxfId="246"/>
    <tableColumn id="72" xr3:uid="{59FB3DE8-E40B-47ED-A0E0-B130617FEA91}" name="C-67" dataDxfId="245"/>
    <tableColumn id="73" xr3:uid="{97B699D1-14D3-4E6C-9BBF-34DAAD400F62}" name="C-68" dataDxfId="244"/>
    <tableColumn id="74" xr3:uid="{7CDC08E8-4311-4C53-8B52-A59AFCD6D74E}" name="C-69" dataDxfId="243"/>
    <tableColumn id="75" xr3:uid="{27EB0B24-8677-423F-BEB1-F3EBAF258673}" name="C-70" dataDxfId="242"/>
    <tableColumn id="76" xr3:uid="{13E72FCA-84ED-4061-A3ED-75304B27BF30}" name="C-71" dataDxfId="241"/>
    <tableColumn id="77" xr3:uid="{78A15910-4C37-4E3F-A49D-FE0E0615B443}" name="C-72" dataDxfId="240"/>
    <tableColumn id="78" xr3:uid="{25811A3A-944F-4FE7-8AA9-4C185EEAD8C1}" name="C-73" dataDxfId="239"/>
    <tableColumn id="79" xr3:uid="{5BE88D9D-B8C6-4CEE-A950-79B902427F14}" name="C-74" dataDxfId="238"/>
    <tableColumn id="80" xr3:uid="{2DE198BF-809D-4F32-9032-EB18FB8326E6}" name="C-75" dataDxfId="237"/>
    <tableColumn id="81" xr3:uid="{77C855E8-0CE0-4FA5-9852-931701F78F7B}" name="C-76" dataDxfId="236"/>
    <tableColumn id="82" xr3:uid="{C3935066-1C8E-4BEC-B36E-AB73FD5B2A22}" name="C-77" dataDxfId="235"/>
    <tableColumn id="83" xr3:uid="{F9490B6B-A505-416C-AAC6-BDD8F7C9F400}" name="C-78" dataDxfId="234"/>
    <tableColumn id="84" xr3:uid="{64F46BAB-47AD-445C-8CD3-8CC4BFFE4977}" name="C-79" dataDxfId="233"/>
    <tableColumn id="85" xr3:uid="{B7AC33CD-842A-4CE7-97BC-87052B10F6EA}" name="C-80" dataDxfId="232"/>
    <tableColumn id="86" xr3:uid="{27B9F7CE-50F2-43CA-8F58-8458E2AA4229}" name="C-81" dataDxfId="231"/>
    <tableColumn id="87" xr3:uid="{49D00B04-99CE-4685-9BC7-19450FA63C5C}" name="C-82" dataDxfId="230"/>
    <tableColumn id="88" xr3:uid="{FD254C47-9AA4-495E-AEB8-47D924D23AE8}" name="C-83" dataDxfId="229"/>
    <tableColumn id="89" xr3:uid="{40BE2D9E-76D2-44F3-8E54-D16EB6C0342B}" name="C-84" dataDxfId="228"/>
    <tableColumn id="90" xr3:uid="{65FEA68D-11FD-4576-98E8-4CC479F9F093}" name="C-85" dataDxfId="227"/>
    <tableColumn id="91" xr3:uid="{3243D337-FC48-4C20-B535-F65F1BC274D5}" name="C-86" dataDxfId="226"/>
    <tableColumn id="92" xr3:uid="{BFD5B7F0-9557-47D3-B8CB-B45534734622}" name="C-87" dataDxfId="225"/>
    <tableColumn id="93" xr3:uid="{19E63382-6DF9-4683-9E6C-1BA07BC04202}" name="C-88" dataDxfId="224"/>
    <tableColumn id="94" xr3:uid="{F0999BD1-D829-41FA-9159-268E4D72D179}" name="C-89" dataDxfId="223"/>
    <tableColumn id="95" xr3:uid="{0D2968D3-601A-447A-A93F-C97B6B3DDEBA}" name="C-90" dataDxfId="222"/>
    <tableColumn id="96" xr3:uid="{733C9564-811A-4DCA-B792-A0C89FDE130B}" name="C-91" dataDxfId="221"/>
    <tableColumn id="97" xr3:uid="{3C4F702A-FD5D-41ED-AC71-20B462095DFE}" name="C-92" dataDxfId="220"/>
    <tableColumn id="98" xr3:uid="{0B7ED0F4-5BE2-4C22-B54B-0E8DAE7975DE}" name="C-93" dataDxfId="219"/>
    <tableColumn id="99" xr3:uid="{2482D4CC-4F20-4A71-BFA5-FAC4657BC229}" name="C-94" dataDxfId="218"/>
    <tableColumn id="100" xr3:uid="{A8EF3E7B-008D-42D3-BBEF-2C16202E79C7}" name="C-95" dataDxfId="217"/>
    <tableColumn id="101" xr3:uid="{A8C5499B-6506-4FFA-872A-4277F55F0079}" name="C-96" dataDxfId="216"/>
    <tableColumn id="102" xr3:uid="{CFE6F6EE-A9FD-4592-802B-98EC620A322C}" name="C-97" dataDxfId="215"/>
    <tableColumn id="103" xr3:uid="{03ED99E1-8F27-4392-9315-9FD0AA7CF3D8}" name="C-98" dataDxfId="214"/>
    <tableColumn id="104" xr3:uid="{2AF79A86-9E56-4EB1-8A29-3D0B9A6E5D50}" name="C-99" dataDxfId="213"/>
    <tableColumn id="105" xr3:uid="{2615F5EB-9214-49A6-8DAA-1AD5DCEB2D33}" name="C-100" dataDxfId="212"/>
    <tableColumn id="106" xr3:uid="{13D02E34-3A3B-402E-80F7-469FBB1429D9}" name="C-101" dataDxfId="211"/>
    <tableColumn id="107" xr3:uid="{AB1231A6-9540-45E8-82A4-15035AD29008}" name="C-102" dataDxfId="210"/>
    <tableColumn id="108" xr3:uid="{1C32F6A5-DEC8-4E83-BAD8-D7689205EF52}" name="C-103" dataDxfId="209"/>
    <tableColumn id="109" xr3:uid="{6BAFD612-B87D-4CFD-9262-DEA5C3C48B46}" name="C-104" dataDxfId="208"/>
    <tableColumn id="110" xr3:uid="{1559CE7F-4A42-449B-BE10-9C9B63752698}" name="C-105" dataDxfId="207"/>
    <tableColumn id="111" xr3:uid="{C986BAE4-09A7-4B73-AE0E-80700FA03F1E}" name="C-106" dataDxfId="206"/>
    <tableColumn id="112" xr3:uid="{2228C9BB-7681-40F3-8CD1-9C4F1F67AE87}" name="C-107" dataDxfId="205"/>
    <tableColumn id="113" xr3:uid="{9EFB4620-D5D6-456E-897E-65FFAB2AB692}" name="C-108" dataDxfId="204"/>
    <tableColumn id="114" xr3:uid="{84E2E353-9E47-49AA-9CD9-A0825FF5533E}" name="C-109" dataDxfId="203"/>
    <tableColumn id="115" xr3:uid="{6554A34A-E2C1-422A-9A6B-DB811B2642D4}" name="C-110" dataDxfId="202"/>
    <tableColumn id="116" xr3:uid="{78A950B8-25CA-4A35-A716-CBBDB73931C6}" name="C-111" dataDxfId="201"/>
    <tableColumn id="117" xr3:uid="{52FD765C-F831-4DE3-AD7C-322E553295B9}" name="C-112" dataDxfId="200"/>
    <tableColumn id="118" xr3:uid="{6B16D643-51F1-49BD-9055-88DB7634F6DC}" name="C-113" dataDxfId="199"/>
    <tableColumn id="119" xr3:uid="{2B73ADB2-BDE6-4B39-95FA-EAAA6682FCD1}" name="C-114" dataDxfId="198"/>
    <tableColumn id="120" xr3:uid="{806AE120-B9E1-4E46-BA71-E2998D8E06F6}" name="C-115" dataDxfId="197"/>
    <tableColumn id="121" xr3:uid="{9E18297B-0D87-4363-842B-389E6BFDD1B5}" name="C-116" dataDxfId="196"/>
    <tableColumn id="122" xr3:uid="{2FDB23DD-E319-4B51-9CA5-1A43C898DC9F}" name="C-117" dataDxfId="195"/>
    <tableColumn id="123" xr3:uid="{87DE9216-9CB9-4901-9FA3-230800708D5F}" name="C-118" dataDxfId="194"/>
    <tableColumn id="124" xr3:uid="{4ADC9E64-780E-4629-86CF-BADE38127D80}" name="C-119" dataDxfId="193"/>
    <tableColumn id="125" xr3:uid="{4D9B64ED-436E-499A-A5F3-9905886DDB1C}" name="C-120" dataDxfId="192"/>
  </tableColumns>
  <tableStyleInfo name="TableStyleLight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5C92C2A-11F5-4518-9C4C-90BBFE057863}" name="Tabela12" displayName="Tabela12" ref="A1:J255" totalsRowShown="0" headerRowDxfId="191" dataDxfId="190">
  <autoFilter ref="A1:J255" xr:uid="{D5C92C2A-11F5-4518-9C4C-90BBFE057863}"/>
  <tableColumns count="10">
    <tableColumn id="1" xr3:uid="{727EFDCF-03B8-4C14-94FD-BE017A7CC15D}" name="Data inspeção" dataDxfId="189"/>
    <tableColumn id="2" xr3:uid="{D81F9262-AA86-4D2F-AE6A-C57D59A4524B}" name="OS" dataDxfId="188"/>
    <tableColumn id="3" xr3:uid="{B0258F1A-8AFE-4263-8FB2-22A05B3C6C73}" name="Cluster" dataDxfId="187"/>
    <tableColumn id="4" xr3:uid="{9FDB4D6F-702F-4A02-BA49-FF512E98FEAA}" name="AEG" dataDxfId="186"/>
    <tableColumn id="5" xr3:uid="{71A65E37-ED02-4B69-8206-9DB45A70F21D}" name="Qtd. Imas trocados" dataDxfId="185"/>
    <tableColumn id="6" xr3:uid="{E63E8C36-9192-4660-8350-23D3C006A340}" name="Carreira" dataDxfId="184"/>
    <tableColumn id="7" xr3:uid="{9417E691-2F9F-4C98-8C49-4CA4D24FDDC6}" name="Descrição" dataDxfId="183"/>
    <tableColumn id="8" xr3:uid="{94F35B86-01D5-45CF-BA71-8F839E920CA6}" name="Ciclo de Inspeção" dataDxfId="182"/>
    <tableColumn id="9" xr3:uid="{BC9224C6-D1AE-4692-9D51-007685B80085}" name="Status" dataDxfId="181"/>
    <tableColumn id="10" xr3:uid="{BD9FDFDE-B5AD-495B-BF13-C7E8C7969692}" name="substituição" dataDxfId="180"/>
  </tableColumns>
  <tableStyleInfo name="TableStyleLight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499864F-AE6B-42CA-ABB2-DD363BD0936C}" name="Tabela11" displayName="Tabela11" ref="B1:J48" totalsRowShown="0" headerRowDxfId="179" headerRowBorderDxfId="178" tableBorderDxfId="177" totalsRowBorderDxfId="176">
  <autoFilter ref="B1:J48" xr:uid="{9499864F-AE6B-42CA-ABB2-DD363BD0936C}"/>
  <tableColumns count="9">
    <tableColumn id="1" xr3:uid="{2CF187B9-2179-4170-A3A6-C417AE00FB94}" name="TURBINA" dataDxfId="175"/>
    <tableColumn id="2" xr3:uid="{2BA5F36D-04B5-46AB-8B83-888B7BBC303A}" name="ÍMÃS TROCADOS" dataDxfId="174" dataCellStyle="Porcentagem">
      <calculatedColumnFormula>SUMIF(Dados_Brutos!D:D, B2, Dados_Brutos!E:E)</calculatedColumnFormula>
    </tableColumn>
    <tableColumn id="3" xr3:uid="{091D6565-63C7-431F-AEDB-FD244F911B67}" name="% IMAS TROCADOS" dataDxfId="173" dataCellStyle="Porcentagem">
      <calculatedColumnFormula>(C2/1200)</calculatedColumnFormula>
    </tableColumn>
    <tableColumn id="4" xr3:uid="{D9DAAEE2-A0CC-4E2E-9A8F-F7F721A8250D}" name="% CRITICIDADE DOWIND" dataDxfId="172" dataCellStyle="Porcentagem">
      <calculatedColumnFormula>IF(COUNTIFS(Dados_Brutos!D:D,Tabela11[[#This Row],[TURBINA]],Dados_Brutos!K:K, "Alto")&gt;0,0.8,IF(COUNTIFS(Dados_Brutos!D:D,Tabela11[[#This Row],[TURBINA]],Dados_Brutos!K:K, "Médio"),0.8,1))*Tabela11[[#This Row],[% IMAS TROCADOS]]</calculatedColumnFormula>
    </tableColumn>
    <tableColumn id="5" xr3:uid="{E6AB1C28-FAF8-4738-A614-D4CFDC0B01D6}" name="% CRITICIDADE UPWIND" dataDxfId="171" dataCellStyle="Porcentagem">
      <calculatedColumnFormula>IF(COUNTIFS(Dados_Brutos!D:D,Tabela11[[#This Row],[TURBINA]],Dados_Brutos!L:L,"Alto")&gt;0, 0.8, IF(COUNTIFS(Dados_Brutos!D:D,Tabela11[[#This Row],[TURBINA]],Dados_Brutos!L:L,"Médio")&gt;0, 0.9, 1))*Tabela11[[#This Row],[% IMAS TROCADOS]]</calculatedColumnFormula>
    </tableColumn>
    <tableColumn id="6" xr3:uid="{0096E4F3-1987-4E09-AB3B-9CBB49F72813}" name="CARREIRAS AFETADAS" dataDxfId="170">
      <calculatedColumnFormula>COUNTIF(Tabela16[[#This Row],[C-01]:[C-120]],"X") &amp; "/120"</calculatedColumnFormula>
    </tableColumn>
    <tableColumn id="7" xr3:uid="{54692FB9-C074-4BB2-8508-A8156AEF8C26}" name="RISCO" dataDxfId="169">
      <calculatedColumnFormula>IF(OR(C2&gt;150, F2&gt;0.85), "🔴", IF(OR(C2&gt;100, F2&gt;0.9), "🟡", "🟢"))</calculatedColumnFormula>
    </tableColumn>
    <tableColumn id="8" xr3:uid="{23705ED1-BA8D-4DD3-9767-1784DE3D85F3}" name="UTIMA MANUTENÇÃO" dataDxfId="168">
      <calculatedColumnFormula array="1">MAX(IF(Dados_Brutos!D:D=Tabela11[[#This Row],[TURBINA]],Dados_Brutos!A:A))</calculatedColumnFormula>
    </tableColumn>
    <tableColumn id="9" xr3:uid="{0EA8082F-CB54-4EC4-9D7B-C9B37E44DC12}" name="PROXIMA PREVISÃO" dataDxfId="167">
      <calculatedColumnFormula>IFERROR(DATE(YEAR(I2),MONTH(I2)+7,DAY(I2)),"")</calculatedColumnFormula>
    </tableColumn>
  </tableColumns>
  <tableStyleInfo name="TableStyleLight1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6AA5CD6-81AC-449F-9C99-E0A6C0A03293}" name="Tabela6" displayName="Tabela6" ref="A1:C6" totalsRowShown="0" headerRowDxfId="166" headerRowBorderDxfId="165" tableBorderDxfId="164" totalsRowBorderDxfId="163">
  <autoFilter ref="A1:C6" xr:uid="{86AA5CD6-81AC-449F-9C99-E0A6C0A03293}"/>
  <tableColumns count="3">
    <tableColumn id="1" xr3:uid="{AC731B6E-08D8-43D9-8BB6-EFC2E89987FA}" name="MÉTRICASPRINCIPAIS-COMPLEXOEÓLICOSANTOINÁCIO" dataDxfId="162"/>
    <tableColumn id="2" xr3:uid="{0C68B961-48FD-4464-9F00-B5B3E200EA08}" name="VALOR" dataDxfId="161"/>
    <tableColumn id="3" xr3:uid="{A82666D6-DB2C-4460-B310-0B1498AAB175}" name="TENDÊNCIA" dataDxfId="160"/>
  </tableColumns>
  <tableStyleInfo name="TableStyleLight1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E3F322-B075-4FE1-8F55-C832AAE9F3B5}" name="Tabela7" displayName="Tabela7" ref="A1:B9" totalsRowShown="0">
  <autoFilter ref="A1:B9" xr:uid="{3BE3F322-B075-4FE1-8F55-C832AAE9F3B5}"/>
  <tableColumns count="2">
    <tableColumn id="1" xr3:uid="{DDB75188-D945-4F57-9101-A947B1411780}" name="PARÂMETRO" dataDxfId="159"/>
    <tableColumn id="2" xr3:uid="{89418E74-1F80-4DA8-AE37-8A5A5E9D5507}" name="VALOR" dataDxfId="158"/>
  </tableColumns>
  <tableStyleInfo name="TableStyleLight1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FFCB368-4A7B-4E29-B946-4F15E4189D89}" name="Tabela411" displayName="Tabela411" ref="C1:D48" totalsRowShown="0">
  <autoFilter ref="C1:D48" xr:uid="{BFFCB368-4A7B-4E29-B946-4F15E4189D89}"/>
  <tableColumns count="2">
    <tableColumn id="1" xr3:uid="{2C3B4560-7FF2-4576-ABFC-31CBE010669A}" name="Cluster"/>
    <tableColumn id="2" xr3:uid="{A1E9D8D3-CE98-43F7-A394-6EA90A02592E}" name="AERO"/>
  </tableColumns>
  <tableStyleInfo name="TableStyleLight1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25AD8-28EA-429F-B4F2-2E9862EB2752}">
  <dimension ref="A1:N158"/>
  <sheetViews>
    <sheetView tabSelected="1" zoomScale="70" zoomScaleNormal="70" workbookViewId="0">
      <pane ySplit="1" topLeftCell="A141" activePane="bottomLeft" state="frozen"/>
      <selection pane="bottomLeft" activeCell="E146" sqref="E146"/>
    </sheetView>
  </sheetViews>
  <sheetFormatPr defaultColWidth="14.88671875" defaultRowHeight="14.4" x14ac:dyDescent="0.3"/>
  <cols>
    <col min="1" max="1" width="18.21875" customWidth="1"/>
    <col min="2" max="2" width="6.5546875" bestFit="1" customWidth="1"/>
    <col min="3" max="3" width="14.77734375" bestFit="1" customWidth="1"/>
    <col min="4" max="4" width="14.6640625" bestFit="1" customWidth="1"/>
    <col min="5" max="5" width="23.21875" bestFit="1" customWidth="1"/>
    <col min="6" max="6" width="14.33203125" bestFit="1" customWidth="1"/>
    <col min="7" max="7" width="19.33203125" bestFit="1" customWidth="1"/>
    <col min="8" max="8" width="15.5546875" bestFit="1" customWidth="1"/>
    <col min="9" max="9" width="21.6640625" bestFit="1" customWidth="1"/>
    <col min="10" max="10" width="21.33203125" bestFit="1" customWidth="1"/>
    <col min="11" max="11" width="16.109375" bestFit="1" customWidth="1"/>
    <col min="12" max="12" width="13.77734375" bestFit="1" customWidth="1"/>
    <col min="13" max="13" width="50.109375" customWidth="1"/>
    <col min="14" max="14" width="14.6640625" bestFit="1" customWidth="1"/>
    <col min="15" max="15" width="7.109375" bestFit="1" customWidth="1"/>
    <col min="16" max="16" width="18.21875" bestFit="1" customWidth="1"/>
    <col min="17" max="17" width="14.44140625" bestFit="1" customWidth="1"/>
    <col min="18" max="18" width="24" bestFit="1" customWidth="1"/>
    <col min="19" max="19" width="13.44140625" bestFit="1" customWidth="1"/>
    <col min="20" max="20" width="11.109375" bestFit="1" customWidth="1"/>
  </cols>
  <sheetData>
    <row r="1" spans="1:14" ht="32.4" customHeight="1" x14ac:dyDescent="0.3">
      <c r="A1" s="7" t="s">
        <v>42</v>
      </c>
      <c r="B1" s="7" t="s">
        <v>0</v>
      </c>
      <c r="C1" s="7" t="s">
        <v>2</v>
      </c>
      <c r="D1" s="7" t="s">
        <v>3</v>
      </c>
      <c r="E1" s="7" t="s">
        <v>43</v>
      </c>
      <c r="F1" s="7" t="s">
        <v>5</v>
      </c>
      <c r="G1" s="7" t="s">
        <v>44</v>
      </c>
      <c r="H1" s="7" t="s">
        <v>6</v>
      </c>
      <c r="I1" s="7" t="s">
        <v>45</v>
      </c>
      <c r="J1" s="7" t="s">
        <v>46</v>
      </c>
      <c r="K1" s="7" t="s">
        <v>177</v>
      </c>
      <c r="L1" s="7" t="s">
        <v>178</v>
      </c>
      <c r="M1" s="7" t="s">
        <v>7</v>
      </c>
      <c r="N1" s="7" t="s">
        <v>8</v>
      </c>
    </row>
    <row r="2" spans="1:14" ht="57.6" x14ac:dyDescent="0.3">
      <c r="A2" s="18">
        <v>45384</v>
      </c>
      <c r="B2" s="7">
        <v>66159</v>
      </c>
      <c r="C2" s="7" t="s">
        <v>81</v>
      </c>
      <c r="D2" s="7" t="s">
        <v>209</v>
      </c>
      <c r="E2" s="7">
        <v>80</v>
      </c>
      <c r="F2" s="7" t="s">
        <v>15</v>
      </c>
      <c r="G2" s="7" t="s">
        <v>17</v>
      </c>
      <c r="H2" s="7" t="s">
        <v>74</v>
      </c>
      <c r="I2" s="18">
        <v>45512</v>
      </c>
      <c r="J2" s="20">
        <v>128</v>
      </c>
      <c r="K2" s="37" t="s">
        <v>90</v>
      </c>
      <c r="L2" s="37" t="s">
        <v>90</v>
      </c>
      <c r="M2" s="37" t="s">
        <v>92</v>
      </c>
      <c r="N2" s="7" t="str">
        <f>IF(Tabela1[[#This Row],[DATA INSPECAO]]="","",IF(AND($F2="Substituido",J2&gt;0,),"ALTA PRIORIDADE","NORMAL"))</f>
        <v>NORMAL</v>
      </c>
    </row>
    <row r="3" spans="1:14" ht="28.8" x14ac:dyDescent="0.3">
      <c r="A3" s="18">
        <v>45384</v>
      </c>
      <c r="B3" s="7">
        <v>66158</v>
      </c>
      <c r="C3" s="7" t="s">
        <v>16</v>
      </c>
      <c r="D3" s="7" t="s">
        <v>188</v>
      </c>
      <c r="E3" s="7">
        <v>80</v>
      </c>
      <c r="F3" s="7" t="s">
        <v>15</v>
      </c>
      <c r="G3" s="7" t="s">
        <v>17</v>
      </c>
      <c r="H3" s="7" t="s">
        <v>74</v>
      </c>
      <c r="I3" s="90">
        <v>45580</v>
      </c>
      <c r="J3" s="20">
        <v>196</v>
      </c>
      <c r="K3" s="37" t="s">
        <v>88</v>
      </c>
      <c r="L3" s="37" t="s">
        <v>90</v>
      </c>
      <c r="M3" s="37" t="s">
        <v>91</v>
      </c>
      <c r="N3" s="7" t="str">
        <f>IF(Tabela1[[#This Row],[DATA INSPECAO]]="","",IF(AND($F3="Substituido",J3&gt;0,),"ALTA PRIORIDADE","NORMAL"))</f>
        <v>NORMAL</v>
      </c>
    </row>
    <row r="4" spans="1:14" ht="86.4" x14ac:dyDescent="0.3">
      <c r="A4" s="18">
        <v>45391</v>
      </c>
      <c r="B4" s="7">
        <v>66160</v>
      </c>
      <c r="C4" s="7" t="s">
        <v>73</v>
      </c>
      <c r="D4" s="7" t="s">
        <v>203</v>
      </c>
      <c r="E4" s="7">
        <v>142</v>
      </c>
      <c r="F4" s="7" t="s">
        <v>15</v>
      </c>
      <c r="G4" s="7" t="s">
        <v>17</v>
      </c>
      <c r="H4" s="7" t="s">
        <v>74</v>
      </c>
      <c r="I4" s="90">
        <v>45593</v>
      </c>
      <c r="J4" s="20">
        <v>202</v>
      </c>
      <c r="K4" s="37" t="s">
        <v>90</v>
      </c>
      <c r="L4" s="37" t="s">
        <v>88</v>
      </c>
      <c r="M4" s="37" t="s">
        <v>93</v>
      </c>
      <c r="N4" s="7" t="str">
        <f>IF(Tabela1[[#This Row],[DATA INSPECAO]]="","",IF(AND($F4="Substituido",J4&gt;0,),"ALTA PRIORIDADE","NORMAL"))</f>
        <v>NORMAL</v>
      </c>
    </row>
    <row r="5" spans="1:14" ht="57.6" x14ac:dyDescent="0.3">
      <c r="A5" s="18">
        <v>45408</v>
      </c>
      <c r="B5" s="7">
        <v>66434</v>
      </c>
      <c r="C5" s="7" t="s">
        <v>73</v>
      </c>
      <c r="D5" s="87" t="s">
        <v>192</v>
      </c>
      <c r="E5" s="7">
        <v>20</v>
      </c>
      <c r="F5" s="7" t="s">
        <v>15</v>
      </c>
      <c r="G5" s="7" t="s">
        <v>17</v>
      </c>
      <c r="H5" s="7" t="s">
        <v>74</v>
      </c>
      <c r="I5" s="18">
        <v>45519</v>
      </c>
      <c r="J5" s="20">
        <v>111</v>
      </c>
      <c r="K5" s="37" t="s">
        <v>90</v>
      </c>
      <c r="L5" s="37" t="s">
        <v>88</v>
      </c>
      <c r="M5" s="37" t="s">
        <v>94</v>
      </c>
      <c r="N5" s="7" t="str">
        <f>IF(Tabela1[[#This Row],[DATA INSPECAO]]="","",IF(AND($F5="Substituido",J5&gt;0,),"ALTA PRIORIDADE","NORMAL"))</f>
        <v>NORMAL</v>
      </c>
    </row>
    <row r="6" spans="1:14" ht="86.4" x14ac:dyDescent="0.3">
      <c r="A6" s="18">
        <v>45408</v>
      </c>
      <c r="B6" s="7">
        <v>66934</v>
      </c>
      <c r="C6" s="7" t="s">
        <v>16</v>
      </c>
      <c r="D6" s="7" t="s">
        <v>183</v>
      </c>
      <c r="E6" s="7">
        <v>200</v>
      </c>
      <c r="F6" s="7" t="s">
        <v>15</v>
      </c>
      <c r="G6" s="7" t="s">
        <v>17</v>
      </c>
      <c r="H6" s="7" t="s">
        <v>74</v>
      </c>
      <c r="I6" s="18">
        <v>45568</v>
      </c>
      <c r="J6" s="20">
        <v>160</v>
      </c>
      <c r="K6" s="37" t="s">
        <v>90</v>
      </c>
      <c r="L6" s="37" t="s">
        <v>90</v>
      </c>
      <c r="M6" s="37" t="s">
        <v>95</v>
      </c>
      <c r="N6" s="7" t="str">
        <f>IF(Tabela1[[#This Row],[DATA INSPECAO]]="","",IF(AND($F6="Substituido",J6&gt;0,),"ALTA PRIORIDADE","NORMAL"))</f>
        <v>NORMAL</v>
      </c>
    </row>
    <row r="7" spans="1:14" ht="86.4" x14ac:dyDescent="0.3">
      <c r="A7" s="18">
        <v>45415</v>
      </c>
      <c r="B7" s="7">
        <v>66933</v>
      </c>
      <c r="C7" s="7" t="s">
        <v>81</v>
      </c>
      <c r="D7" s="87" t="s">
        <v>211</v>
      </c>
      <c r="E7" s="7">
        <v>260</v>
      </c>
      <c r="F7" s="7" t="s">
        <v>15</v>
      </c>
      <c r="G7" s="7" t="s">
        <v>17</v>
      </c>
      <c r="H7" s="7" t="s">
        <v>74</v>
      </c>
      <c r="I7" s="18">
        <v>45558</v>
      </c>
      <c r="J7" s="20">
        <v>143</v>
      </c>
      <c r="K7" s="37" t="s">
        <v>90</v>
      </c>
      <c r="L7" s="37" t="s">
        <v>88</v>
      </c>
      <c r="M7" s="37" t="s">
        <v>96</v>
      </c>
      <c r="N7" s="7" t="str">
        <f>IF(Tabela1[[#This Row],[DATA INSPECAO]]="","",IF(AND($F7="Substituido",J7&gt;0,),"ALTA PRIORIDADE","NORMAL"))</f>
        <v>NORMAL</v>
      </c>
    </row>
    <row r="8" spans="1:14" x14ac:dyDescent="0.3">
      <c r="A8" s="18">
        <v>45420</v>
      </c>
      <c r="B8" s="7">
        <v>66931</v>
      </c>
      <c r="C8" s="7" t="s">
        <v>82</v>
      </c>
      <c r="D8" s="87" t="s">
        <v>223</v>
      </c>
      <c r="E8" s="7">
        <v>50</v>
      </c>
      <c r="F8" s="7" t="s">
        <v>15</v>
      </c>
      <c r="G8" s="7" t="s">
        <v>17</v>
      </c>
      <c r="H8" s="7" t="s">
        <v>74</v>
      </c>
      <c r="I8" s="18">
        <v>45478</v>
      </c>
      <c r="J8" s="20">
        <v>58</v>
      </c>
      <c r="K8" s="37" t="s">
        <v>90</v>
      </c>
      <c r="L8" s="37" t="s">
        <v>88</v>
      </c>
      <c r="M8" s="37" t="s">
        <v>97</v>
      </c>
      <c r="N8" s="7" t="str">
        <f>IF(Tabela1[[#This Row],[DATA INSPECAO]]="","",IF(AND($F8="Substituido",J8&gt;0,),"ALTA PRIORIDADE","NORMAL"))</f>
        <v>NORMAL</v>
      </c>
    </row>
    <row r="9" spans="1:14" ht="28.8" x14ac:dyDescent="0.3">
      <c r="A9" s="18">
        <v>45421</v>
      </c>
      <c r="B9" s="7" t="s">
        <v>86</v>
      </c>
      <c r="C9" s="7" t="s">
        <v>82</v>
      </c>
      <c r="D9" s="7" t="s">
        <v>225</v>
      </c>
      <c r="E9" s="7">
        <v>0</v>
      </c>
      <c r="F9" s="7" t="s">
        <v>87</v>
      </c>
      <c r="G9" s="7" t="s">
        <v>17</v>
      </c>
      <c r="H9" s="7" t="s">
        <v>18</v>
      </c>
      <c r="I9" s="18" t="s">
        <v>86</v>
      </c>
      <c r="J9" s="20">
        <v>0</v>
      </c>
      <c r="K9" s="37" t="s">
        <v>88</v>
      </c>
      <c r="L9" s="37" t="s">
        <v>88</v>
      </c>
      <c r="M9" s="37" t="s">
        <v>98</v>
      </c>
      <c r="N9" s="7" t="str">
        <f>IF(Tabela1[[#This Row],[DATA INSPECAO]]="","",IF(AND($F9="Substituido",J9&gt;0,),"ALTA PRIORIDADE","NORMAL"))</f>
        <v>NORMAL</v>
      </c>
    </row>
    <row r="10" spans="1:14" ht="72" x14ac:dyDescent="0.3">
      <c r="A10" s="18">
        <v>45422</v>
      </c>
      <c r="B10" s="7" t="s">
        <v>86</v>
      </c>
      <c r="C10" s="7" t="s">
        <v>73</v>
      </c>
      <c r="D10" s="7" t="s">
        <v>204</v>
      </c>
      <c r="E10" s="7">
        <v>0</v>
      </c>
      <c r="F10" s="7" t="s">
        <v>87</v>
      </c>
      <c r="G10" s="7" t="s">
        <v>17</v>
      </c>
      <c r="H10" s="7" t="s">
        <v>18</v>
      </c>
      <c r="I10" s="18" t="s">
        <v>86</v>
      </c>
      <c r="J10" s="20">
        <v>0</v>
      </c>
      <c r="K10" s="37" t="s">
        <v>88</v>
      </c>
      <c r="L10" s="37" t="s">
        <v>89</v>
      </c>
      <c r="M10" s="37" t="s">
        <v>99</v>
      </c>
      <c r="N10" s="7" t="str">
        <f>IF(Tabela1[[#This Row],[DATA INSPECAO]]="","",IF(AND($F10="Substituido",J10&gt;0,),"ALTA PRIORIDADE","NORMAL"))</f>
        <v>NORMAL</v>
      </c>
    </row>
    <row r="11" spans="1:14" ht="43.2" x14ac:dyDescent="0.3">
      <c r="A11" s="18">
        <v>45425</v>
      </c>
      <c r="B11" s="7">
        <v>66932</v>
      </c>
      <c r="C11" s="7" t="s">
        <v>73</v>
      </c>
      <c r="D11" s="87" t="s">
        <v>191</v>
      </c>
      <c r="E11" s="7">
        <v>60</v>
      </c>
      <c r="F11" s="7" t="s">
        <v>15</v>
      </c>
      <c r="G11" s="7" t="s">
        <v>17</v>
      </c>
      <c r="H11" s="7" t="s">
        <v>74</v>
      </c>
      <c r="I11" s="18">
        <v>45597</v>
      </c>
      <c r="J11" s="20">
        <v>172</v>
      </c>
      <c r="K11" s="37" t="s">
        <v>90</v>
      </c>
      <c r="L11" s="37" t="s">
        <v>88</v>
      </c>
      <c r="M11" s="37" t="s">
        <v>100</v>
      </c>
      <c r="N11" s="7" t="str">
        <f>IF(Tabela1[[#This Row],[DATA INSPECAO]]="","",IF(AND($F11="Substituido",J11&gt;0,),"ALTA PRIORIDADE","NORMAL"))</f>
        <v>NORMAL</v>
      </c>
    </row>
    <row r="12" spans="1:14" ht="43.2" x14ac:dyDescent="0.3">
      <c r="A12" s="57">
        <v>45429</v>
      </c>
      <c r="B12" s="44">
        <v>66935</v>
      </c>
      <c r="C12" s="44" t="s">
        <v>81</v>
      </c>
      <c r="D12" s="91" t="s">
        <v>210</v>
      </c>
      <c r="E12" s="44">
        <v>60</v>
      </c>
      <c r="F12" s="44" t="s">
        <v>15</v>
      </c>
      <c r="G12" s="44" t="s">
        <v>17</v>
      </c>
      <c r="H12" s="44" t="s">
        <v>74</v>
      </c>
      <c r="I12" s="57">
        <v>45472</v>
      </c>
      <c r="J12" s="58">
        <v>43</v>
      </c>
      <c r="K12" s="59" t="s">
        <v>90</v>
      </c>
      <c r="L12" s="59" t="s">
        <v>90</v>
      </c>
      <c r="M12" s="59" t="s">
        <v>101</v>
      </c>
      <c r="N12" s="44" t="str">
        <f>IF(Tabela1[[#This Row],[DATA INSPECAO]]="","",IF(AND($F12="Substituido",J12&gt;0,),"ALTA PRIORIDADE","NORMAL"))</f>
        <v>NORMAL</v>
      </c>
    </row>
    <row r="13" spans="1:14" ht="72" x14ac:dyDescent="0.3">
      <c r="A13" s="18">
        <v>45432</v>
      </c>
      <c r="B13" s="7" t="s">
        <v>86</v>
      </c>
      <c r="C13" s="7" t="s">
        <v>16</v>
      </c>
      <c r="D13" s="7" t="s">
        <v>185</v>
      </c>
      <c r="E13" s="7">
        <v>0</v>
      </c>
      <c r="F13" s="7" t="s">
        <v>87</v>
      </c>
      <c r="G13" s="7" t="s">
        <v>17</v>
      </c>
      <c r="H13" s="7" t="s">
        <v>18</v>
      </c>
      <c r="I13" s="18" t="s">
        <v>86</v>
      </c>
      <c r="J13" s="20">
        <v>0</v>
      </c>
      <c r="K13" s="37" t="s">
        <v>88</v>
      </c>
      <c r="L13" s="37" t="s">
        <v>88</v>
      </c>
      <c r="M13" s="37" t="s">
        <v>102</v>
      </c>
      <c r="N13" s="7" t="str">
        <f>IF(Tabela1[[#This Row],[DATA INSPECAO]]="","",IF(AND($F13="Substituido",J13&gt;0,),"ALTA PRIORIDADE","NORMAL"))</f>
        <v>NORMAL</v>
      </c>
    </row>
    <row r="14" spans="1:14" ht="43.2" x14ac:dyDescent="0.3">
      <c r="A14" s="18">
        <v>45433</v>
      </c>
      <c r="B14" s="7">
        <v>66887</v>
      </c>
      <c r="C14" s="7" t="s">
        <v>16</v>
      </c>
      <c r="D14" s="87" t="s">
        <v>189</v>
      </c>
      <c r="E14" s="7">
        <v>20</v>
      </c>
      <c r="F14" s="7" t="s">
        <v>15</v>
      </c>
      <c r="G14" s="7" t="s">
        <v>17</v>
      </c>
      <c r="H14" s="7" t="s">
        <v>74</v>
      </c>
      <c r="I14" s="18">
        <v>45457</v>
      </c>
      <c r="J14" s="20">
        <v>24</v>
      </c>
      <c r="K14" s="37" t="s">
        <v>90</v>
      </c>
      <c r="L14" s="37" t="s">
        <v>90</v>
      </c>
      <c r="M14" s="37" t="s">
        <v>103</v>
      </c>
      <c r="N14" s="7" t="str">
        <f>IF(Tabela1[[#This Row],[DATA INSPECAO]]="","",IF(AND($F14="Substituido",J14&gt;0,),"ALTA PRIORIDADE","NORMAL"))</f>
        <v>NORMAL</v>
      </c>
    </row>
    <row r="15" spans="1:14" ht="86.4" x14ac:dyDescent="0.3">
      <c r="A15" s="57">
        <v>45434</v>
      </c>
      <c r="B15" s="44" t="s">
        <v>86</v>
      </c>
      <c r="C15" s="44" t="s">
        <v>16</v>
      </c>
      <c r="D15" s="44" t="s">
        <v>190</v>
      </c>
      <c r="E15" s="44">
        <v>0</v>
      </c>
      <c r="F15" s="44" t="s">
        <v>87</v>
      </c>
      <c r="G15" s="44" t="s">
        <v>17</v>
      </c>
      <c r="H15" s="44" t="s">
        <v>18</v>
      </c>
      <c r="I15" s="57" t="s">
        <v>86</v>
      </c>
      <c r="J15" s="58">
        <v>0</v>
      </c>
      <c r="K15" s="59" t="s">
        <v>88</v>
      </c>
      <c r="L15" s="59" t="s">
        <v>88</v>
      </c>
      <c r="M15" s="59" t="s">
        <v>104</v>
      </c>
      <c r="N15" s="44" t="str">
        <f>IF(Tabela1[[#This Row],[DATA INSPECAO]]="","",IF(AND($F15="Substituido",J15&gt;0,),"ALTA PRIORIDADE","NORMAL"))</f>
        <v>NORMAL</v>
      </c>
    </row>
    <row r="16" spans="1:14" ht="57.6" x14ac:dyDescent="0.3">
      <c r="A16" s="18">
        <v>45435</v>
      </c>
      <c r="B16" s="7" t="s">
        <v>86</v>
      </c>
      <c r="C16" s="7" t="s">
        <v>16</v>
      </c>
      <c r="D16" s="7" t="s">
        <v>182</v>
      </c>
      <c r="E16" s="7">
        <v>0</v>
      </c>
      <c r="F16" s="7" t="s">
        <v>87</v>
      </c>
      <c r="G16" s="7" t="s">
        <v>17</v>
      </c>
      <c r="H16" s="7" t="s">
        <v>18</v>
      </c>
      <c r="I16" s="18" t="s">
        <v>86</v>
      </c>
      <c r="J16" s="20">
        <v>0</v>
      </c>
      <c r="K16" s="37" t="s">
        <v>88</v>
      </c>
      <c r="L16" s="37" t="s">
        <v>88</v>
      </c>
      <c r="M16" s="37" t="s">
        <v>105</v>
      </c>
      <c r="N16" s="7" t="str">
        <f>IF(Tabela1[[#This Row],[DATA INSPECAO]]="","",IF(AND($F16="Substituido",J16&gt;0,),"ALTA PRIORIDADE","NORMAL"))</f>
        <v>NORMAL</v>
      </c>
    </row>
    <row r="17" spans="1:14" ht="72" x14ac:dyDescent="0.3">
      <c r="A17" s="18">
        <v>45435</v>
      </c>
      <c r="B17" s="7" t="s">
        <v>86</v>
      </c>
      <c r="C17" s="7" t="s">
        <v>16</v>
      </c>
      <c r="D17" s="7" t="s">
        <v>186</v>
      </c>
      <c r="E17" s="7">
        <v>0</v>
      </c>
      <c r="F17" s="7" t="s">
        <v>87</v>
      </c>
      <c r="G17" s="7" t="s">
        <v>17</v>
      </c>
      <c r="H17" s="7" t="s">
        <v>18</v>
      </c>
      <c r="I17" s="18" t="s">
        <v>86</v>
      </c>
      <c r="J17" s="20">
        <v>0</v>
      </c>
      <c r="K17" s="37" t="s">
        <v>88</v>
      </c>
      <c r="L17" s="37" t="s">
        <v>88</v>
      </c>
      <c r="M17" s="37" t="s">
        <v>106</v>
      </c>
      <c r="N17" s="7" t="str">
        <f>IF(Tabela1[[#This Row],[DATA INSPECAO]]="","",IF(AND($F17="Substituido",J17&gt;0,),"ALTA PRIORIDADE","NORMAL"))</f>
        <v>NORMAL</v>
      </c>
    </row>
    <row r="18" spans="1:14" ht="57.6" x14ac:dyDescent="0.3">
      <c r="A18" s="18">
        <v>45436</v>
      </c>
      <c r="B18" s="7" t="s">
        <v>86</v>
      </c>
      <c r="C18" s="7" t="s">
        <v>16</v>
      </c>
      <c r="D18" s="7" t="s">
        <v>181</v>
      </c>
      <c r="E18" s="7">
        <v>0</v>
      </c>
      <c r="F18" s="7" t="s">
        <v>87</v>
      </c>
      <c r="G18" s="7" t="s">
        <v>17</v>
      </c>
      <c r="H18" s="7" t="s">
        <v>18</v>
      </c>
      <c r="I18" s="18" t="s">
        <v>86</v>
      </c>
      <c r="J18" s="20">
        <v>0</v>
      </c>
      <c r="K18" s="37" t="s">
        <v>88</v>
      </c>
      <c r="L18" s="37" t="s">
        <v>88</v>
      </c>
      <c r="M18" s="37" t="s">
        <v>107</v>
      </c>
      <c r="N18" s="7" t="str">
        <f>IF(Tabela1[[#This Row],[DATA INSPECAO]]="","",IF(AND($F18="Substituido",J18&gt;0,),"ALTA PRIORIDADE","NORMAL"))</f>
        <v>NORMAL</v>
      </c>
    </row>
    <row r="19" spans="1:14" ht="115.2" x14ac:dyDescent="0.3">
      <c r="A19" s="18">
        <v>45436</v>
      </c>
      <c r="B19" s="7" t="s">
        <v>86</v>
      </c>
      <c r="C19" s="7" t="s">
        <v>16</v>
      </c>
      <c r="D19" s="7" t="s">
        <v>184</v>
      </c>
      <c r="E19" s="7">
        <v>0</v>
      </c>
      <c r="F19" s="7" t="s">
        <v>87</v>
      </c>
      <c r="G19" s="7" t="s">
        <v>17</v>
      </c>
      <c r="H19" s="7" t="s">
        <v>18</v>
      </c>
      <c r="I19" s="18" t="s">
        <v>86</v>
      </c>
      <c r="J19" s="20">
        <v>0</v>
      </c>
      <c r="K19" s="37" t="s">
        <v>89</v>
      </c>
      <c r="L19" s="37" t="s">
        <v>89</v>
      </c>
      <c r="M19" s="37" t="s">
        <v>108</v>
      </c>
      <c r="N19" s="7" t="str">
        <f>IF(Tabela1[[#This Row],[DATA INSPECAO]]="","",IF(AND($F19="Substituido",J19&gt;0,),"ALTA PRIORIDADE","NORMAL"))</f>
        <v>NORMAL</v>
      </c>
    </row>
    <row r="20" spans="1:14" ht="43.2" x14ac:dyDescent="0.3">
      <c r="A20" s="18">
        <v>45439</v>
      </c>
      <c r="B20" s="7" t="s">
        <v>86</v>
      </c>
      <c r="C20" s="7" t="s">
        <v>16</v>
      </c>
      <c r="D20" s="7" t="s">
        <v>180</v>
      </c>
      <c r="E20" s="7">
        <v>0</v>
      </c>
      <c r="F20" s="7" t="s">
        <v>87</v>
      </c>
      <c r="G20" s="7" t="s">
        <v>17</v>
      </c>
      <c r="H20" s="7" t="s">
        <v>18</v>
      </c>
      <c r="I20" s="18" t="s">
        <v>86</v>
      </c>
      <c r="J20" s="20">
        <v>0</v>
      </c>
      <c r="K20" s="37" t="s">
        <v>88</v>
      </c>
      <c r="L20" s="37" t="s">
        <v>88</v>
      </c>
      <c r="M20" s="37" t="s">
        <v>109</v>
      </c>
      <c r="N20" s="7" t="str">
        <f>IF(Tabela1[[#This Row],[DATA INSPECAO]]="","",IF(AND($F20="Substituido",J20&gt;0,),"ALTA PRIORIDADE","NORMAL"))</f>
        <v>NORMAL</v>
      </c>
    </row>
    <row r="21" spans="1:14" ht="57.6" x14ac:dyDescent="0.3">
      <c r="A21" s="18">
        <v>45439</v>
      </c>
      <c r="B21" s="7" t="s">
        <v>86</v>
      </c>
      <c r="C21" s="7" t="s">
        <v>82</v>
      </c>
      <c r="D21" s="7" t="s">
        <v>224</v>
      </c>
      <c r="E21" s="7">
        <v>0</v>
      </c>
      <c r="F21" s="7" t="s">
        <v>87</v>
      </c>
      <c r="G21" s="7" t="s">
        <v>17</v>
      </c>
      <c r="H21" s="7" t="s">
        <v>18</v>
      </c>
      <c r="I21" s="18" t="s">
        <v>86</v>
      </c>
      <c r="J21" s="20">
        <v>0</v>
      </c>
      <c r="K21" s="37" t="s">
        <v>88</v>
      </c>
      <c r="L21" s="37" t="s">
        <v>88</v>
      </c>
      <c r="M21" s="37" t="s">
        <v>110</v>
      </c>
      <c r="N21" s="7" t="str">
        <f>IF(Tabela1[[#This Row],[DATA INSPECAO]]="","",IF(AND($F21="Substituido",J21&gt;0,),"ALTA PRIORIDADE","NORMAL"))</f>
        <v>NORMAL</v>
      </c>
    </row>
    <row r="22" spans="1:14" ht="86.4" x14ac:dyDescent="0.3">
      <c r="A22" s="18">
        <v>45440</v>
      </c>
      <c r="B22" s="7">
        <v>67108</v>
      </c>
      <c r="C22" s="7" t="s">
        <v>82</v>
      </c>
      <c r="D22" s="87" t="s">
        <v>222</v>
      </c>
      <c r="E22" s="7">
        <v>50</v>
      </c>
      <c r="F22" s="7" t="s">
        <v>15</v>
      </c>
      <c r="G22" s="7" t="s">
        <v>17</v>
      </c>
      <c r="H22" s="7" t="s">
        <v>74</v>
      </c>
      <c r="I22" s="18">
        <v>45465</v>
      </c>
      <c r="J22" s="20">
        <v>25</v>
      </c>
      <c r="K22" s="37" t="s">
        <v>88</v>
      </c>
      <c r="L22" s="37" t="s">
        <v>90</v>
      </c>
      <c r="M22" s="37" t="s">
        <v>111</v>
      </c>
      <c r="N22" s="7" t="str">
        <f>IF(Tabela1[[#This Row],[DATA INSPECAO]]="","",IF(AND($F22="Substituido",J22&gt;0,),"ALTA PRIORIDADE","NORMAL"))</f>
        <v>NORMAL</v>
      </c>
    </row>
    <row r="23" spans="1:14" ht="43.2" x14ac:dyDescent="0.3">
      <c r="A23" s="18">
        <v>45441</v>
      </c>
      <c r="B23" s="7" t="s">
        <v>86</v>
      </c>
      <c r="C23" s="7" t="s">
        <v>82</v>
      </c>
      <c r="D23" s="7" t="s">
        <v>216</v>
      </c>
      <c r="E23" s="7">
        <v>0</v>
      </c>
      <c r="F23" s="7" t="s">
        <v>87</v>
      </c>
      <c r="G23" s="7" t="s">
        <v>17</v>
      </c>
      <c r="H23" s="7" t="s">
        <v>18</v>
      </c>
      <c r="I23" s="18" t="s">
        <v>86</v>
      </c>
      <c r="J23" s="20">
        <v>0</v>
      </c>
      <c r="K23" s="37" t="s">
        <v>88</v>
      </c>
      <c r="L23" s="37" t="s">
        <v>88</v>
      </c>
      <c r="M23" s="37" t="s">
        <v>113</v>
      </c>
      <c r="N23" s="7" t="str">
        <f>IF(Tabela1[[#This Row],[DATA INSPECAO]]="","",IF(AND($F23="Substituido",J23&gt;0,),"ALTA PRIORIDADE","NORMAL"))</f>
        <v>NORMAL</v>
      </c>
    </row>
    <row r="24" spans="1:14" ht="28.8" x14ac:dyDescent="0.3">
      <c r="A24" s="18">
        <v>45441</v>
      </c>
      <c r="B24" s="7" t="s">
        <v>86</v>
      </c>
      <c r="C24" s="7" t="s">
        <v>82</v>
      </c>
      <c r="D24" s="7" t="s">
        <v>226</v>
      </c>
      <c r="E24" s="7">
        <v>0</v>
      </c>
      <c r="F24" s="7" t="s">
        <v>87</v>
      </c>
      <c r="G24" s="7" t="s">
        <v>17</v>
      </c>
      <c r="H24" s="7" t="s">
        <v>18</v>
      </c>
      <c r="I24" s="18" t="s">
        <v>86</v>
      </c>
      <c r="J24" s="20">
        <v>0</v>
      </c>
      <c r="K24" s="37" t="s">
        <v>88</v>
      </c>
      <c r="L24" s="37" t="s">
        <v>88</v>
      </c>
      <c r="M24" s="37" t="s">
        <v>112</v>
      </c>
      <c r="N24" s="7" t="str">
        <f>IF(Tabela1[[#This Row],[DATA INSPECAO]]="","",IF(AND($F24="Substituido",J24&gt;0,),"ALTA PRIORIDADE","NORMAL"))</f>
        <v>NORMAL</v>
      </c>
    </row>
    <row r="25" spans="1:14" ht="57.6" x14ac:dyDescent="0.3">
      <c r="A25" s="57">
        <v>45443</v>
      </c>
      <c r="B25" s="44">
        <v>67180</v>
      </c>
      <c r="C25" s="44" t="s">
        <v>82</v>
      </c>
      <c r="D25" s="91" t="s">
        <v>217</v>
      </c>
      <c r="E25" s="44">
        <v>20</v>
      </c>
      <c r="F25" s="44" t="s">
        <v>15</v>
      </c>
      <c r="G25" s="44" t="s">
        <v>17</v>
      </c>
      <c r="H25" s="44" t="s">
        <v>74</v>
      </c>
      <c r="I25" s="57">
        <v>45460</v>
      </c>
      <c r="J25" s="58">
        <v>17</v>
      </c>
      <c r="K25" s="59" t="s">
        <v>89</v>
      </c>
      <c r="L25" s="59" t="s">
        <v>88</v>
      </c>
      <c r="M25" s="59" t="s">
        <v>114</v>
      </c>
      <c r="N25" s="44" t="str">
        <f>IF(Tabela1[[#This Row],[DATA INSPECAO]]="","",IF(AND($F25="Substituido",J25&gt;0,),"ALTA PRIORIDADE","NORMAL"))</f>
        <v>NORMAL</v>
      </c>
    </row>
    <row r="26" spans="1:14" ht="72" x14ac:dyDescent="0.3">
      <c r="A26" s="18">
        <v>45446</v>
      </c>
      <c r="B26" s="7" t="s">
        <v>86</v>
      </c>
      <c r="C26" s="7" t="s">
        <v>82</v>
      </c>
      <c r="D26" s="7" t="s">
        <v>218</v>
      </c>
      <c r="E26" s="7">
        <v>0</v>
      </c>
      <c r="F26" s="7" t="s">
        <v>87</v>
      </c>
      <c r="G26" s="7" t="s">
        <v>17</v>
      </c>
      <c r="H26" s="7" t="s">
        <v>18</v>
      </c>
      <c r="I26" s="18" t="s">
        <v>86</v>
      </c>
      <c r="J26" s="20">
        <v>0</v>
      </c>
      <c r="K26" s="37" t="s">
        <v>88</v>
      </c>
      <c r="L26" s="37" t="s">
        <v>88</v>
      </c>
      <c r="M26" s="37" t="s">
        <v>116</v>
      </c>
      <c r="N26" s="7" t="str">
        <f>IF(Tabela1[[#This Row],[DATA INSPECAO]]="","",IF(AND($F26="Substituido",J26&gt;0,),"ALTA PRIORIDADE","NORMAL"))</f>
        <v>NORMAL</v>
      </c>
    </row>
    <row r="27" spans="1:14" ht="57.6" x14ac:dyDescent="0.3">
      <c r="A27" s="18">
        <v>45446</v>
      </c>
      <c r="B27" s="7">
        <v>67257</v>
      </c>
      <c r="C27" s="7" t="s">
        <v>82</v>
      </c>
      <c r="D27" s="87" t="s">
        <v>219</v>
      </c>
      <c r="E27" s="7">
        <v>20</v>
      </c>
      <c r="F27" s="7" t="s">
        <v>15</v>
      </c>
      <c r="G27" s="7" t="s">
        <v>17</v>
      </c>
      <c r="H27" s="7" t="s">
        <v>74</v>
      </c>
      <c r="I27" s="18">
        <v>45461</v>
      </c>
      <c r="J27" s="20">
        <v>15</v>
      </c>
      <c r="K27" s="37" t="s">
        <v>88</v>
      </c>
      <c r="L27" s="37" t="s">
        <v>90</v>
      </c>
      <c r="M27" s="37" t="s">
        <v>115</v>
      </c>
      <c r="N27" s="7" t="str">
        <f>IF(Tabela1[[#This Row],[DATA INSPECAO]]="","",IF(AND($F27="Substituido",J27&gt;0,),"ALTA PRIORIDADE","NORMAL"))</f>
        <v>NORMAL</v>
      </c>
    </row>
    <row r="28" spans="1:14" ht="57.6" x14ac:dyDescent="0.3">
      <c r="A28" s="57">
        <v>45447</v>
      </c>
      <c r="B28" s="44" t="s">
        <v>86</v>
      </c>
      <c r="C28" s="44" t="s">
        <v>82</v>
      </c>
      <c r="D28" s="44" t="s">
        <v>220</v>
      </c>
      <c r="E28" s="44">
        <v>0</v>
      </c>
      <c r="F28" s="44" t="s">
        <v>87</v>
      </c>
      <c r="G28" s="44" t="s">
        <v>17</v>
      </c>
      <c r="H28" s="44" t="s">
        <v>18</v>
      </c>
      <c r="I28" s="57" t="s">
        <v>86</v>
      </c>
      <c r="J28" s="58">
        <v>0</v>
      </c>
      <c r="K28" s="59" t="s">
        <v>88</v>
      </c>
      <c r="L28" s="59" t="s">
        <v>88</v>
      </c>
      <c r="M28" s="59" t="s">
        <v>118</v>
      </c>
      <c r="N28" s="44" t="str">
        <f>IF(Tabela1[[#This Row],[DATA INSPECAO]]="","",IF(AND($F28="Substituido",J28&gt;0,),"ALTA PRIORIDADE","NORMAL"))</f>
        <v>NORMAL</v>
      </c>
    </row>
    <row r="29" spans="1:14" ht="115.2" x14ac:dyDescent="0.3">
      <c r="A29" s="18">
        <v>45447</v>
      </c>
      <c r="B29" s="7">
        <v>67315</v>
      </c>
      <c r="C29" s="7" t="s">
        <v>82</v>
      </c>
      <c r="D29" s="87" t="s">
        <v>221</v>
      </c>
      <c r="E29" s="7">
        <v>50</v>
      </c>
      <c r="F29" s="7" t="s">
        <v>15</v>
      </c>
      <c r="G29" s="7" t="s">
        <v>17</v>
      </c>
      <c r="H29" s="7" t="s">
        <v>74</v>
      </c>
      <c r="I29" s="18">
        <v>45468</v>
      </c>
      <c r="J29" s="20">
        <v>21</v>
      </c>
      <c r="K29" s="37" t="s">
        <v>88</v>
      </c>
      <c r="L29" s="37" t="s">
        <v>90</v>
      </c>
      <c r="M29" s="37" t="s">
        <v>117</v>
      </c>
      <c r="N29" s="7" t="str">
        <f>IF(Tabela1[[#This Row],[DATA INSPECAO]]="","",IF(AND($F29="Substituido",J29&gt;0,),"ALTA PRIORIDADE","NORMAL"))</f>
        <v>NORMAL</v>
      </c>
    </row>
    <row r="30" spans="1:14" ht="72" x14ac:dyDescent="0.3">
      <c r="A30" s="18">
        <v>45448</v>
      </c>
      <c r="B30" s="7">
        <v>67373</v>
      </c>
      <c r="C30" s="7" t="s">
        <v>73</v>
      </c>
      <c r="D30" s="87" t="s">
        <v>198</v>
      </c>
      <c r="E30" s="7">
        <v>30</v>
      </c>
      <c r="F30" s="7" t="s">
        <v>15</v>
      </c>
      <c r="G30" s="7" t="s">
        <v>17</v>
      </c>
      <c r="H30" s="7" t="s">
        <v>74</v>
      </c>
      <c r="I30" s="18">
        <v>45463</v>
      </c>
      <c r="J30" s="20">
        <v>15</v>
      </c>
      <c r="K30" s="37" t="s">
        <v>88</v>
      </c>
      <c r="L30" s="37" t="s">
        <v>90</v>
      </c>
      <c r="M30" s="37" t="s">
        <v>119</v>
      </c>
      <c r="N30" s="7" t="str">
        <f>IF(Tabela1[[#This Row],[DATA INSPECAO]]="","",IF(AND($F30="Substituido",J30&gt;0,),"ALTA PRIORIDADE","NORMAL"))</f>
        <v>NORMAL</v>
      </c>
    </row>
    <row r="31" spans="1:14" ht="100.8" x14ac:dyDescent="0.3">
      <c r="A31" s="57">
        <v>45448</v>
      </c>
      <c r="B31" s="44">
        <v>67395</v>
      </c>
      <c r="C31" s="44" t="s">
        <v>73</v>
      </c>
      <c r="D31" s="91" t="s">
        <v>200</v>
      </c>
      <c r="E31" s="44">
        <v>10</v>
      </c>
      <c r="F31" s="44" t="s">
        <v>15</v>
      </c>
      <c r="G31" s="44" t="s">
        <v>17</v>
      </c>
      <c r="H31" s="44" t="s">
        <v>74</v>
      </c>
      <c r="I31" s="57">
        <v>45458</v>
      </c>
      <c r="J31" s="58">
        <v>10</v>
      </c>
      <c r="K31" s="59" t="s">
        <v>88</v>
      </c>
      <c r="L31" s="59" t="s">
        <v>90</v>
      </c>
      <c r="M31" s="59" t="s">
        <v>120</v>
      </c>
      <c r="N31" s="44" t="str">
        <f>IF(Tabela1[[#This Row],[DATA INSPECAO]]="","",IF(AND($F31="Substituido",J31&gt;0,),"ALTA PRIORIDADE","NORMAL"))</f>
        <v>NORMAL</v>
      </c>
    </row>
    <row r="32" spans="1:14" ht="57.6" x14ac:dyDescent="0.3">
      <c r="A32" s="57">
        <v>45449</v>
      </c>
      <c r="B32" s="44" t="s">
        <v>86</v>
      </c>
      <c r="C32" s="44" t="s">
        <v>73</v>
      </c>
      <c r="D32" s="44" t="s">
        <v>194</v>
      </c>
      <c r="E32" s="44">
        <v>0</v>
      </c>
      <c r="F32" s="44" t="s">
        <v>87</v>
      </c>
      <c r="G32" s="44" t="s">
        <v>17</v>
      </c>
      <c r="H32" s="44" t="s">
        <v>18</v>
      </c>
      <c r="I32" s="57" t="s">
        <v>86</v>
      </c>
      <c r="J32" s="58">
        <v>0</v>
      </c>
      <c r="K32" s="59" t="s">
        <v>88</v>
      </c>
      <c r="L32" s="59" t="s">
        <v>88</v>
      </c>
      <c r="M32" s="59" t="s">
        <v>122</v>
      </c>
      <c r="N32" s="44" t="str">
        <f>IF(Tabela1[[#This Row],[DATA INSPECAO]]="","",IF(AND($F32="Substituido",J32&gt;0,),"ALTA PRIORIDADE","NORMAL"))</f>
        <v>NORMAL</v>
      </c>
    </row>
    <row r="33" spans="1:14" ht="43.2" x14ac:dyDescent="0.3">
      <c r="A33" s="18">
        <v>45449</v>
      </c>
      <c r="B33" s="7" t="s">
        <v>86</v>
      </c>
      <c r="C33" s="7" t="s">
        <v>73</v>
      </c>
      <c r="D33" s="7" t="s">
        <v>201</v>
      </c>
      <c r="E33" s="7">
        <v>0</v>
      </c>
      <c r="F33" s="7" t="s">
        <v>87</v>
      </c>
      <c r="G33" s="7" t="s">
        <v>17</v>
      </c>
      <c r="H33" s="7" t="s">
        <v>18</v>
      </c>
      <c r="I33" s="18" t="s">
        <v>86</v>
      </c>
      <c r="J33" s="20">
        <v>0</v>
      </c>
      <c r="K33" s="37" t="s">
        <v>89</v>
      </c>
      <c r="L33" s="37" t="s">
        <v>89</v>
      </c>
      <c r="M33" s="37" t="s">
        <v>121</v>
      </c>
      <c r="N33" s="7" t="str">
        <f>IF(Tabela1[[#This Row],[DATA INSPECAO]]="","",IF(AND($F33="Substituido",J33&gt;0,),"ALTA PRIORIDADE","NORMAL"))</f>
        <v>NORMAL</v>
      </c>
    </row>
    <row r="34" spans="1:14" ht="72" x14ac:dyDescent="0.3">
      <c r="A34" s="57">
        <v>45450</v>
      </c>
      <c r="B34" s="44" t="s">
        <v>86</v>
      </c>
      <c r="C34" s="44" t="s">
        <v>73</v>
      </c>
      <c r="D34" s="44" t="s">
        <v>195</v>
      </c>
      <c r="E34" s="44">
        <v>0</v>
      </c>
      <c r="F34" s="44" t="s">
        <v>87</v>
      </c>
      <c r="G34" s="44" t="s">
        <v>17</v>
      </c>
      <c r="H34" s="44" t="s">
        <v>18</v>
      </c>
      <c r="I34" s="57" t="s">
        <v>86</v>
      </c>
      <c r="J34" s="58">
        <v>0</v>
      </c>
      <c r="K34" s="59" t="s">
        <v>88</v>
      </c>
      <c r="L34" s="59" t="s">
        <v>88</v>
      </c>
      <c r="M34" s="59" t="s">
        <v>123</v>
      </c>
      <c r="N34" s="44" t="str">
        <f>IF(Tabela1[[#This Row],[DATA INSPECAO]]="","",IF(AND($F34="Substituido",J34&gt;0,),"ALTA PRIORIDADE","NORMAL"))</f>
        <v>NORMAL</v>
      </c>
    </row>
    <row r="35" spans="1:14" ht="43.2" x14ac:dyDescent="0.3">
      <c r="A35" s="18">
        <v>45450</v>
      </c>
      <c r="B35" s="7" t="s">
        <v>86</v>
      </c>
      <c r="C35" s="7" t="s">
        <v>73</v>
      </c>
      <c r="D35" s="7" t="s">
        <v>197</v>
      </c>
      <c r="E35" s="7">
        <v>0</v>
      </c>
      <c r="F35" s="7" t="s">
        <v>87</v>
      </c>
      <c r="G35" s="7" t="s">
        <v>17</v>
      </c>
      <c r="H35" s="7" t="s">
        <v>18</v>
      </c>
      <c r="I35" s="18" t="s">
        <v>86</v>
      </c>
      <c r="J35" s="20">
        <v>0</v>
      </c>
      <c r="K35" s="37" t="s">
        <v>89</v>
      </c>
      <c r="L35" s="37" t="s">
        <v>89</v>
      </c>
      <c r="M35" s="37" t="s">
        <v>168</v>
      </c>
      <c r="N35" s="7" t="str">
        <f>IF(Tabela1[[#This Row],[DATA INSPECAO]]="","",IF(AND($F35="Substituido",J35&gt;0,),"ALTA PRIORIDADE","NORMAL"))</f>
        <v>NORMAL</v>
      </c>
    </row>
    <row r="36" spans="1:14" ht="72" x14ac:dyDescent="0.3">
      <c r="A36" s="18">
        <v>45453</v>
      </c>
      <c r="B36" s="7">
        <v>67613</v>
      </c>
      <c r="C36" s="7" t="s">
        <v>73</v>
      </c>
      <c r="D36" s="87" t="s">
        <v>193</v>
      </c>
      <c r="E36" s="7">
        <v>30</v>
      </c>
      <c r="F36" s="7" t="s">
        <v>15</v>
      </c>
      <c r="G36" s="7" t="s">
        <v>17</v>
      </c>
      <c r="H36" s="7" t="s">
        <v>74</v>
      </c>
      <c r="I36" s="18">
        <v>45469</v>
      </c>
      <c r="J36" s="20">
        <v>16</v>
      </c>
      <c r="K36" s="37" t="s">
        <v>88</v>
      </c>
      <c r="L36" s="37" t="s">
        <v>90</v>
      </c>
      <c r="M36" s="37" t="s">
        <v>76</v>
      </c>
      <c r="N36" s="7" t="str">
        <f>IF(Tabela1[[#This Row],[DATA INSPECAO]]="","",IF(AND($F36="Substituido",J36&gt;0,),"ALTA PRIORIDADE","NORMAL"))</f>
        <v>NORMAL</v>
      </c>
    </row>
    <row r="37" spans="1:14" ht="43.2" x14ac:dyDescent="0.3">
      <c r="A37" s="18">
        <v>45454</v>
      </c>
      <c r="B37" s="7" t="s">
        <v>86</v>
      </c>
      <c r="C37" s="7" t="s">
        <v>81</v>
      </c>
      <c r="D37" s="7" t="s">
        <v>212</v>
      </c>
      <c r="E37" s="7">
        <v>0</v>
      </c>
      <c r="F37" s="7" t="s">
        <v>87</v>
      </c>
      <c r="G37" s="7" t="s">
        <v>17</v>
      </c>
      <c r="H37" s="7" t="s">
        <v>18</v>
      </c>
      <c r="I37" s="18" t="s">
        <v>86</v>
      </c>
      <c r="J37" s="20">
        <v>0</v>
      </c>
      <c r="K37" s="37" t="s">
        <v>89</v>
      </c>
      <c r="L37" s="37" t="s">
        <v>88</v>
      </c>
      <c r="M37" s="37" t="s">
        <v>125</v>
      </c>
      <c r="N37" s="7" t="str">
        <f>IF(Tabela1[[#This Row],[DATA INSPECAO]]="","",IF(AND($F37="Substituido",J37&gt;0,),"ALTA PRIORIDADE","NORMAL"))</f>
        <v>NORMAL</v>
      </c>
    </row>
    <row r="38" spans="1:14" ht="57.6" x14ac:dyDescent="0.3">
      <c r="A38" s="18">
        <v>45454</v>
      </c>
      <c r="B38" s="7">
        <v>67656</v>
      </c>
      <c r="C38" s="7" t="s">
        <v>16</v>
      </c>
      <c r="D38" s="87" t="s">
        <v>187</v>
      </c>
      <c r="E38" s="7">
        <v>20</v>
      </c>
      <c r="F38" s="7" t="s">
        <v>15</v>
      </c>
      <c r="G38" s="7" t="s">
        <v>17</v>
      </c>
      <c r="H38" s="7" t="s">
        <v>74</v>
      </c>
      <c r="I38" s="18">
        <v>45462</v>
      </c>
      <c r="J38" s="20">
        <v>8</v>
      </c>
      <c r="K38" s="37" t="s">
        <v>90</v>
      </c>
      <c r="L38" s="37" t="s">
        <v>90</v>
      </c>
      <c r="M38" s="37" t="s">
        <v>124</v>
      </c>
      <c r="N38" s="7" t="str">
        <f>IF(Tabela1[[#This Row],[DATA INSPECAO]]="","",IF(AND($F38="Substituido",J38&gt;0,),"ALTA PRIORIDADE","NORMAL"))</f>
        <v>NORMAL</v>
      </c>
    </row>
    <row r="39" spans="1:14" ht="43.2" x14ac:dyDescent="0.3">
      <c r="A39" s="18">
        <v>45455</v>
      </c>
      <c r="B39" s="7" t="s">
        <v>86</v>
      </c>
      <c r="C39" s="7" t="s">
        <v>81</v>
      </c>
      <c r="D39" s="7" t="s">
        <v>214</v>
      </c>
      <c r="E39" s="7">
        <v>0</v>
      </c>
      <c r="F39" s="7" t="s">
        <v>87</v>
      </c>
      <c r="G39" s="7" t="s">
        <v>17</v>
      </c>
      <c r="H39" s="7" t="s">
        <v>18</v>
      </c>
      <c r="I39" s="18" t="s">
        <v>86</v>
      </c>
      <c r="J39" s="20">
        <v>0</v>
      </c>
      <c r="K39" s="37" t="s">
        <v>89</v>
      </c>
      <c r="L39" s="37" t="s">
        <v>88</v>
      </c>
      <c r="M39" s="37" t="s">
        <v>125</v>
      </c>
      <c r="N39" s="7" t="str">
        <f>IF(Tabela1[[#This Row],[DATA INSPECAO]]="","",IF(AND($F39="Substituido",J39&gt;0,),"ALTA PRIORIDADE","NORMAL"))</f>
        <v>NORMAL</v>
      </c>
    </row>
    <row r="40" spans="1:14" ht="43.2" x14ac:dyDescent="0.3">
      <c r="A40" s="57">
        <v>45456</v>
      </c>
      <c r="B40" s="44" t="s">
        <v>86</v>
      </c>
      <c r="C40" s="44" t="s">
        <v>81</v>
      </c>
      <c r="D40" s="44" t="s">
        <v>205</v>
      </c>
      <c r="E40" s="44">
        <v>0</v>
      </c>
      <c r="F40" s="44" t="s">
        <v>87</v>
      </c>
      <c r="G40" s="44" t="s">
        <v>17</v>
      </c>
      <c r="H40" s="44" t="s">
        <v>18</v>
      </c>
      <c r="I40" s="57" t="s">
        <v>86</v>
      </c>
      <c r="J40" s="58">
        <v>0</v>
      </c>
      <c r="K40" s="59" t="s">
        <v>88</v>
      </c>
      <c r="L40" s="59" t="s">
        <v>88</v>
      </c>
      <c r="M40" s="59" t="s">
        <v>126</v>
      </c>
      <c r="N40" s="44" t="str">
        <f>IF(Tabela1[[#This Row],[DATA INSPECAO]]="","",IF(AND($F40="Substituido",J40&gt;0,),"ALTA PRIORIDADE","NORMAL"))</f>
        <v>NORMAL</v>
      </c>
    </row>
    <row r="41" spans="1:14" ht="115.2" x14ac:dyDescent="0.3">
      <c r="A41" s="18">
        <v>45457</v>
      </c>
      <c r="B41" s="7">
        <v>68766</v>
      </c>
      <c r="C41" s="7" t="s">
        <v>81</v>
      </c>
      <c r="D41" s="7" t="s">
        <v>207</v>
      </c>
      <c r="E41" s="7">
        <v>10</v>
      </c>
      <c r="F41" s="7" t="s">
        <v>15</v>
      </c>
      <c r="G41" s="7" t="s">
        <v>17</v>
      </c>
      <c r="H41" s="7" t="s">
        <v>18</v>
      </c>
      <c r="I41" s="18">
        <v>45481</v>
      </c>
      <c r="J41" s="20">
        <v>0</v>
      </c>
      <c r="K41" s="37" t="s">
        <v>88</v>
      </c>
      <c r="L41" s="37" t="s">
        <v>89</v>
      </c>
      <c r="M41" s="37" t="s">
        <v>127</v>
      </c>
      <c r="N41" s="7" t="str">
        <f>IF(Tabela1[[#This Row],[DATA INSPECAO]]="","",IF(AND($F41="Substituido",J41&gt;0,),"ALTA PRIORIDADE","NORMAL"))</f>
        <v>NORMAL</v>
      </c>
    </row>
    <row r="42" spans="1:14" ht="72" x14ac:dyDescent="0.3">
      <c r="A42" s="18">
        <v>45460</v>
      </c>
      <c r="B42" s="7" t="s">
        <v>86</v>
      </c>
      <c r="C42" s="7" t="s">
        <v>81</v>
      </c>
      <c r="D42" s="7" t="s">
        <v>208</v>
      </c>
      <c r="E42" s="7">
        <v>0</v>
      </c>
      <c r="F42" s="7" t="s">
        <v>87</v>
      </c>
      <c r="G42" s="7" t="s">
        <v>17</v>
      </c>
      <c r="H42" s="7" t="s">
        <v>18</v>
      </c>
      <c r="I42" s="18" t="s">
        <v>86</v>
      </c>
      <c r="J42" s="20">
        <v>0</v>
      </c>
      <c r="K42" s="37" t="s">
        <v>88</v>
      </c>
      <c r="L42" s="37" t="s">
        <v>88</v>
      </c>
      <c r="M42" s="37" t="s">
        <v>128</v>
      </c>
      <c r="N42" s="7" t="str">
        <f>IF(Tabela1[[#This Row],[DATA INSPECAO]]="","",IF(AND($F42="Substituido",J42&gt;0,),"ALTA PRIORIDADE","NORMAL"))</f>
        <v>NORMAL</v>
      </c>
    </row>
    <row r="43" spans="1:14" ht="57.6" x14ac:dyDescent="0.3">
      <c r="A43" s="18">
        <v>45461</v>
      </c>
      <c r="B43" s="7" t="s">
        <v>86</v>
      </c>
      <c r="C43" s="7" t="s">
        <v>81</v>
      </c>
      <c r="D43" s="7" t="s">
        <v>213</v>
      </c>
      <c r="E43" s="7">
        <v>0</v>
      </c>
      <c r="F43" s="7" t="s">
        <v>87</v>
      </c>
      <c r="G43" s="7" t="s">
        <v>17</v>
      </c>
      <c r="H43" s="7" t="s">
        <v>18</v>
      </c>
      <c r="I43" s="18" t="s">
        <v>86</v>
      </c>
      <c r="J43" s="20">
        <v>0</v>
      </c>
      <c r="K43" s="37" t="s">
        <v>88</v>
      </c>
      <c r="L43" s="37" t="s">
        <v>88</v>
      </c>
      <c r="M43" s="37" t="s">
        <v>122</v>
      </c>
      <c r="N43" s="7" t="str">
        <f>IF(Tabela1[[#This Row],[DATA INSPECAO]]="","",IF(AND($F43="Substituido",J43&gt;0,),"ALTA PRIORIDADE","NORMAL"))</f>
        <v>NORMAL</v>
      </c>
    </row>
    <row r="44" spans="1:14" ht="57.6" x14ac:dyDescent="0.3">
      <c r="A44" s="18">
        <v>45462</v>
      </c>
      <c r="B44" s="7" t="s">
        <v>86</v>
      </c>
      <c r="C44" s="7" t="s">
        <v>81</v>
      </c>
      <c r="D44" s="7" t="s">
        <v>206</v>
      </c>
      <c r="E44" s="7">
        <v>0</v>
      </c>
      <c r="F44" s="7" t="s">
        <v>87</v>
      </c>
      <c r="G44" s="7" t="s">
        <v>17</v>
      </c>
      <c r="H44" s="7" t="s">
        <v>18</v>
      </c>
      <c r="I44" s="18" t="s">
        <v>86</v>
      </c>
      <c r="J44" s="20">
        <v>0</v>
      </c>
      <c r="K44" s="37" t="s">
        <v>88</v>
      </c>
      <c r="L44" s="37" t="s">
        <v>88</v>
      </c>
      <c r="M44" s="37" t="s">
        <v>129</v>
      </c>
      <c r="N44" s="7" t="str">
        <f>IF(Tabela1[[#This Row],[DATA INSPECAO]]="","",IF(AND($F44="Substituido",J44&gt;0,),"ALTA PRIORIDADE","NORMAL"))</f>
        <v>NORMAL</v>
      </c>
    </row>
    <row r="45" spans="1:14" ht="57.6" x14ac:dyDescent="0.3">
      <c r="A45" s="18">
        <v>45463</v>
      </c>
      <c r="B45" s="7" t="s">
        <v>86</v>
      </c>
      <c r="C45" s="7" t="s">
        <v>81</v>
      </c>
      <c r="D45" s="7" t="s">
        <v>215</v>
      </c>
      <c r="E45" s="7">
        <v>0</v>
      </c>
      <c r="F45" s="7" t="s">
        <v>87</v>
      </c>
      <c r="G45" s="7" t="s">
        <v>17</v>
      </c>
      <c r="H45" s="7" t="s">
        <v>18</v>
      </c>
      <c r="I45" s="18" t="s">
        <v>86</v>
      </c>
      <c r="J45" s="20">
        <v>0</v>
      </c>
      <c r="K45" s="37" t="s">
        <v>88</v>
      </c>
      <c r="L45" s="37" t="s">
        <v>88</v>
      </c>
      <c r="M45" s="37" t="s">
        <v>122</v>
      </c>
      <c r="N45" s="7" t="str">
        <f>IF(Tabela1[[#This Row],[DATA INSPECAO]]="","",IF(AND($F45="Substituido",J45&gt;0,),"ALTA PRIORIDADE","NORMAL"))</f>
        <v>NORMAL</v>
      </c>
    </row>
    <row r="46" spans="1:14" ht="86.4" x14ac:dyDescent="0.3">
      <c r="A46" s="18">
        <v>45464</v>
      </c>
      <c r="B46" s="7">
        <v>68028</v>
      </c>
      <c r="C46" s="7" t="s">
        <v>73</v>
      </c>
      <c r="D46" s="87" t="s">
        <v>202</v>
      </c>
      <c r="E46" s="7">
        <v>50</v>
      </c>
      <c r="F46" s="7" t="s">
        <v>15</v>
      </c>
      <c r="G46" s="7" t="s">
        <v>17</v>
      </c>
      <c r="H46" s="7" t="s">
        <v>74</v>
      </c>
      <c r="I46" s="18">
        <v>45475</v>
      </c>
      <c r="J46" s="20">
        <v>11</v>
      </c>
      <c r="K46" s="37" t="s">
        <v>90</v>
      </c>
      <c r="L46" s="37" t="s">
        <v>88</v>
      </c>
      <c r="M46" s="37" t="s">
        <v>130</v>
      </c>
      <c r="N46" s="7" t="str">
        <f>IF(Tabela1[[#This Row],[DATA INSPECAO]]="","",IF(AND($F46="Substituido",J46&gt;0,),"ALTA PRIORIDADE","NORMAL"))</f>
        <v>NORMAL</v>
      </c>
    </row>
    <row r="47" spans="1:14" ht="28.8" x14ac:dyDescent="0.3">
      <c r="A47" s="18">
        <v>45488</v>
      </c>
      <c r="B47" s="7" t="s">
        <v>86</v>
      </c>
      <c r="C47" s="7" t="s">
        <v>73</v>
      </c>
      <c r="D47" s="87" t="s">
        <v>199</v>
      </c>
      <c r="E47" s="7">
        <v>32</v>
      </c>
      <c r="F47" s="7" t="s">
        <v>15</v>
      </c>
      <c r="G47" s="7" t="s">
        <v>85</v>
      </c>
      <c r="H47" s="7" t="s">
        <v>74</v>
      </c>
      <c r="I47" s="18">
        <v>45500</v>
      </c>
      <c r="J47" s="20">
        <v>12</v>
      </c>
      <c r="K47" s="37" t="s">
        <v>88</v>
      </c>
      <c r="L47" s="37" t="s">
        <v>90</v>
      </c>
      <c r="M47" s="37" t="s">
        <v>131</v>
      </c>
      <c r="N47" s="7" t="str">
        <f>IF(Tabela1[[#This Row],[DATA INSPECAO]]="","",IF(AND($F47="Substituido",J47&gt;0,),"ALTA PRIORIDADE","NORMAL"))</f>
        <v>NORMAL</v>
      </c>
    </row>
    <row r="48" spans="1:14" x14ac:dyDescent="0.3">
      <c r="A48" s="18">
        <v>45589</v>
      </c>
      <c r="B48" s="7" t="s">
        <v>86</v>
      </c>
      <c r="C48" s="7" t="s">
        <v>82</v>
      </c>
      <c r="D48" s="87" t="s">
        <v>216</v>
      </c>
      <c r="E48" s="7">
        <v>3</v>
      </c>
      <c r="F48" s="7" t="s">
        <v>15</v>
      </c>
      <c r="G48" s="7" t="s">
        <v>85</v>
      </c>
      <c r="H48" s="7" t="s">
        <v>74</v>
      </c>
      <c r="I48" s="18">
        <v>45624</v>
      </c>
      <c r="J48" s="20">
        <v>35</v>
      </c>
      <c r="K48" s="37" t="s">
        <v>88</v>
      </c>
      <c r="L48" s="37" t="s">
        <v>90</v>
      </c>
      <c r="M48" s="37" t="s">
        <v>132</v>
      </c>
      <c r="N48" s="7" t="str">
        <f>IF(Tabela1[[#This Row],[DATA INSPECAO]]="","",IF(AND($F48="Substituido",J48&gt;0,),"ALTA PRIORIDADE","NORMAL"))</f>
        <v>NORMAL</v>
      </c>
    </row>
    <row r="49" spans="1:14" ht="57.6" x14ac:dyDescent="0.3">
      <c r="A49" s="18">
        <v>45608</v>
      </c>
      <c r="B49" s="7" t="s">
        <v>86</v>
      </c>
      <c r="C49" s="7" t="s">
        <v>82</v>
      </c>
      <c r="D49" s="7" t="s">
        <v>222</v>
      </c>
      <c r="E49" s="7">
        <v>0</v>
      </c>
      <c r="F49" s="7" t="s">
        <v>87</v>
      </c>
      <c r="G49" s="7" t="s">
        <v>71</v>
      </c>
      <c r="H49" s="7" t="s">
        <v>18</v>
      </c>
      <c r="I49" s="18" t="s">
        <v>86</v>
      </c>
      <c r="J49" s="20">
        <v>0</v>
      </c>
      <c r="K49" s="37" t="s">
        <v>88</v>
      </c>
      <c r="L49" s="37" t="s">
        <v>88</v>
      </c>
      <c r="M49" s="37" t="s">
        <v>134</v>
      </c>
      <c r="N49" s="7" t="str">
        <f>IF(Tabela1[[#This Row],[DATA INSPECAO]]="","",IF(AND($F49="Substituido",J49&gt;0,),"ALTA PRIORIDADE","NORMAL"))</f>
        <v>NORMAL</v>
      </c>
    </row>
    <row r="50" spans="1:14" ht="28.8" x14ac:dyDescent="0.3">
      <c r="A50" s="57">
        <v>45608</v>
      </c>
      <c r="B50" s="44" t="s">
        <v>86</v>
      </c>
      <c r="C50" s="44" t="s">
        <v>82</v>
      </c>
      <c r="D50" s="44" t="s">
        <v>226</v>
      </c>
      <c r="E50" s="44">
        <v>0</v>
      </c>
      <c r="F50" s="44" t="s">
        <v>87</v>
      </c>
      <c r="G50" s="44" t="s">
        <v>71</v>
      </c>
      <c r="H50" s="44" t="s">
        <v>18</v>
      </c>
      <c r="I50" s="57" t="s">
        <v>86</v>
      </c>
      <c r="J50" s="58">
        <v>0</v>
      </c>
      <c r="K50" s="59" t="s">
        <v>88</v>
      </c>
      <c r="L50" s="59" t="s">
        <v>88</v>
      </c>
      <c r="M50" s="59" t="s">
        <v>112</v>
      </c>
      <c r="N50" s="44" t="str">
        <f>IF(Tabela1[[#This Row],[DATA INSPECAO]]="","",IF(AND($F50="Substituido",J50&gt;0,),"ALTA PRIORIDADE","NORMAL"))</f>
        <v>NORMAL</v>
      </c>
    </row>
    <row r="51" spans="1:14" ht="72" x14ac:dyDescent="0.3">
      <c r="A51" s="18">
        <v>45608</v>
      </c>
      <c r="B51" s="7" t="s">
        <v>86</v>
      </c>
      <c r="C51" s="7" t="s">
        <v>16</v>
      </c>
      <c r="D51" s="7" t="s">
        <v>183</v>
      </c>
      <c r="E51" s="7">
        <v>20</v>
      </c>
      <c r="F51" s="7" t="s">
        <v>15</v>
      </c>
      <c r="G51" s="7" t="s">
        <v>71</v>
      </c>
      <c r="H51" s="7" t="s">
        <v>18</v>
      </c>
      <c r="I51" s="18">
        <v>45635</v>
      </c>
      <c r="J51" s="20" t="s">
        <v>86</v>
      </c>
      <c r="K51" s="37" t="s">
        <v>88</v>
      </c>
      <c r="L51" s="37" t="s">
        <v>90</v>
      </c>
      <c r="M51" s="37" t="s">
        <v>133</v>
      </c>
      <c r="N51" s="7" t="str">
        <f>IF(Tabela1[[#This Row],[DATA INSPECAO]]="","",IF(AND($F51="Substituido",J51&gt;0,),"ALTA PRIORIDADE","NORMAL"))</f>
        <v>NORMAL</v>
      </c>
    </row>
    <row r="52" spans="1:14" ht="28.8" x14ac:dyDescent="0.3">
      <c r="A52" s="18">
        <v>45609</v>
      </c>
      <c r="B52" s="60" t="s">
        <v>86</v>
      </c>
      <c r="C52" s="7" t="s">
        <v>82</v>
      </c>
      <c r="D52" s="7" t="s">
        <v>223</v>
      </c>
      <c r="E52" s="7">
        <v>0</v>
      </c>
      <c r="F52" s="7" t="s">
        <v>87</v>
      </c>
      <c r="G52" s="7" t="s">
        <v>71</v>
      </c>
      <c r="H52" s="7" t="s">
        <v>18</v>
      </c>
      <c r="I52" s="18" t="s">
        <v>86</v>
      </c>
      <c r="J52" s="20">
        <v>0</v>
      </c>
      <c r="K52" s="37" t="s">
        <v>88</v>
      </c>
      <c r="L52" s="37" t="s">
        <v>88</v>
      </c>
      <c r="M52" s="37" t="s">
        <v>112</v>
      </c>
      <c r="N52" s="7" t="str">
        <f>IF(Tabela1[[#This Row],[DATA INSPECAO]]="","",IF(AND($F52="Substituido",J52&gt;0,),"ALTA PRIORIDADE","NORMAL"))</f>
        <v>NORMAL</v>
      </c>
    </row>
    <row r="53" spans="1:14" ht="57.6" x14ac:dyDescent="0.3">
      <c r="A53" s="18">
        <v>45609</v>
      </c>
      <c r="B53" s="7" t="s">
        <v>86</v>
      </c>
      <c r="C53" s="7" t="s">
        <v>82</v>
      </c>
      <c r="D53" s="7" t="s">
        <v>224</v>
      </c>
      <c r="E53" s="7">
        <v>0</v>
      </c>
      <c r="F53" s="7" t="s">
        <v>87</v>
      </c>
      <c r="G53" s="7" t="s">
        <v>71</v>
      </c>
      <c r="H53" s="7" t="s">
        <v>18</v>
      </c>
      <c r="I53" s="18" t="s">
        <v>86</v>
      </c>
      <c r="J53" s="20">
        <v>0</v>
      </c>
      <c r="K53" s="37" t="s">
        <v>88</v>
      </c>
      <c r="L53" s="37" t="s">
        <v>88</v>
      </c>
      <c r="M53" s="37" t="s">
        <v>110</v>
      </c>
      <c r="N53" s="7" t="str">
        <f>IF(Tabela1[[#This Row],[DATA INSPECAO]]="","",IF(AND($F53="Substituido",J53&gt;0,),"ALTA PRIORIDADE","NORMAL"))</f>
        <v>NORMAL</v>
      </c>
    </row>
    <row r="54" spans="1:14" ht="115.2" x14ac:dyDescent="0.3">
      <c r="A54" s="18">
        <v>45610</v>
      </c>
      <c r="B54" s="7" t="s">
        <v>86</v>
      </c>
      <c r="C54" s="7" t="s">
        <v>73</v>
      </c>
      <c r="D54" s="7" t="s">
        <v>195</v>
      </c>
      <c r="E54" s="7">
        <v>0</v>
      </c>
      <c r="F54" s="7" t="s">
        <v>87</v>
      </c>
      <c r="G54" s="7" t="s">
        <v>71</v>
      </c>
      <c r="H54" s="7" t="s">
        <v>18</v>
      </c>
      <c r="I54" s="18" t="s">
        <v>86</v>
      </c>
      <c r="J54" s="20">
        <v>0</v>
      </c>
      <c r="K54" s="37" t="s">
        <v>88</v>
      </c>
      <c r="L54" s="37" t="s">
        <v>88</v>
      </c>
      <c r="M54" s="37" t="s">
        <v>136</v>
      </c>
      <c r="N54" s="7" t="str">
        <f>IF(Tabela1[[#This Row],[DATA INSPECAO]]="","",IF(AND($F54="Substituido",J54&gt;0,),"ALTA PRIORIDADE","NORMAL"))</f>
        <v>NORMAL</v>
      </c>
    </row>
    <row r="55" spans="1:14" x14ac:dyDescent="0.3">
      <c r="A55" s="18">
        <v>45610</v>
      </c>
      <c r="B55" s="7" t="s">
        <v>86</v>
      </c>
      <c r="C55" s="7" t="s">
        <v>73</v>
      </c>
      <c r="D55" s="7" t="s">
        <v>199</v>
      </c>
      <c r="E55" s="7">
        <v>0</v>
      </c>
      <c r="F55" s="7" t="s">
        <v>87</v>
      </c>
      <c r="G55" s="7" t="s">
        <v>71</v>
      </c>
      <c r="H55" s="7" t="s">
        <v>18</v>
      </c>
      <c r="I55" s="18" t="s">
        <v>86</v>
      </c>
      <c r="J55" s="20">
        <v>0</v>
      </c>
      <c r="K55" s="37" t="s">
        <v>88</v>
      </c>
      <c r="L55" s="37" t="s">
        <v>88</v>
      </c>
      <c r="M55" s="37" t="s">
        <v>135</v>
      </c>
      <c r="N55" s="7" t="str">
        <f>IF(Tabela1[[#This Row],[DATA INSPECAO]]="","",IF(AND($F55="Substituido",J55&gt;0,),"ALTA PRIORIDADE","NORMAL"))</f>
        <v>NORMAL</v>
      </c>
    </row>
    <row r="56" spans="1:14" ht="28.8" x14ac:dyDescent="0.3">
      <c r="A56" s="18">
        <v>45615</v>
      </c>
      <c r="B56" s="7" t="s">
        <v>86</v>
      </c>
      <c r="C56" s="7" t="s">
        <v>82</v>
      </c>
      <c r="D56" s="7" t="s">
        <v>217</v>
      </c>
      <c r="E56" s="7">
        <v>0</v>
      </c>
      <c r="F56" s="7" t="s">
        <v>87</v>
      </c>
      <c r="G56" s="7" t="s">
        <v>71</v>
      </c>
      <c r="H56" s="7" t="s">
        <v>18</v>
      </c>
      <c r="I56" s="18" t="s">
        <v>86</v>
      </c>
      <c r="J56" s="20">
        <v>0</v>
      </c>
      <c r="K56" s="37" t="s">
        <v>88</v>
      </c>
      <c r="L56" s="37" t="s">
        <v>88</v>
      </c>
      <c r="M56" s="37" t="s">
        <v>112</v>
      </c>
      <c r="N56" s="7" t="str">
        <f>IF(Tabela1[[#This Row],[DATA INSPECAO]]="","",IF(AND($F56="Substituido",J56&gt;0,),"ALTA PRIORIDADE","NORMAL"))</f>
        <v>NORMAL</v>
      </c>
    </row>
    <row r="57" spans="1:14" x14ac:dyDescent="0.3">
      <c r="A57" s="18">
        <v>45616</v>
      </c>
      <c r="B57" s="7" t="s">
        <v>86</v>
      </c>
      <c r="C57" s="7" t="s">
        <v>82</v>
      </c>
      <c r="D57" s="7" t="s">
        <v>216</v>
      </c>
      <c r="E57" s="7">
        <v>0</v>
      </c>
      <c r="F57" s="7" t="s">
        <v>87</v>
      </c>
      <c r="G57" s="7" t="s">
        <v>71</v>
      </c>
      <c r="H57" s="7" t="s">
        <v>18</v>
      </c>
      <c r="I57" s="18" t="s">
        <v>86</v>
      </c>
      <c r="J57" s="20">
        <v>0</v>
      </c>
      <c r="K57" s="37" t="s">
        <v>88</v>
      </c>
      <c r="L57" s="37" t="s">
        <v>88</v>
      </c>
      <c r="M57" s="37" t="s">
        <v>135</v>
      </c>
      <c r="N57" s="7" t="str">
        <f>IF(Tabela1[[#This Row],[DATA INSPECAO]]="","",IF(AND($F57="Substituido",J57&gt;0,),"ALTA PRIORIDADE","NORMAL"))</f>
        <v>NORMAL</v>
      </c>
    </row>
    <row r="58" spans="1:14" ht="43.2" x14ac:dyDescent="0.3">
      <c r="A58" s="18">
        <v>45616</v>
      </c>
      <c r="B58" s="7" t="s">
        <v>86</v>
      </c>
      <c r="C58" s="7" t="s">
        <v>73</v>
      </c>
      <c r="D58" s="7" t="s">
        <v>197</v>
      </c>
      <c r="E58" s="7">
        <v>0</v>
      </c>
      <c r="F58" s="7" t="s">
        <v>87</v>
      </c>
      <c r="G58" s="7" t="s">
        <v>71</v>
      </c>
      <c r="H58" s="7" t="s">
        <v>18</v>
      </c>
      <c r="I58" s="18" t="s">
        <v>86</v>
      </c>
      <c r="J58" s="20">
        <v>0</v>
      </c>
      <c r="K58" s="37" t="s">
        <v>89</v>
      </c>
      <c r="L58" s="37" t="s">
        <v>89</v>
      </c>
      <c r="M58" s="37" t="s">
        <v>168</v>
      </c>
      <c r="N58" s="7" t="str">
        <f>IF(Tabela1[[#This Row],[DATA INSPECAO]]="","",IF(AND($F58="Substituido",J58&gt;0,),"ALTA PRIORIDADE","NORMAL"))</f>
        <v>NORMAL</v>
      </c>
    </row>
    <row r="59" spans="1:14" ht="57.6" x14ac:dyDescent="0.3">
      <c r="A59" s="18">
        <v>45617</v>
      </c>
      <c r="B59" s="7" t="s">
        <v>86</v>
      </c>
      <c r="C59" s="7" t="s">
        <v>82</v>
      </c>
      <c r="D59" s="7" t="s">
        <v>220</v>
      </c>
      <c r="E59" s="7">
        <v>0</v>
      </c>
      <c r="F59" s="7" t="s">
        <v>87</v>
      </c>
      <c r="G59" s="7" t="s">
        <v>71</v>
      </c>
      <c r="H59" s="7" t="s">
        <v>18</v>
      </c>
      <c r="I59" s="18" t="s">
        <v>86</v>
      </c>
      <c r="J59" s="20">
        <v>0</v>
      </c>
      <c r="K59" s="37" t="s">
        <v>88</v>
      </c>
      <c r="L59" s="37" t="s">
        <v>88</v>
      </c>
      <c r="M59" s="37" t="s">
        <v>19</v>
      </c>
      <c r="N59" s="7" t="str">
        <f>IF(Tabela1[[#This Row],[DATA INSPECAO]]="","",IF(AND($F59="Substituido",J59&gt;0,),"ALTA PRIORIDADE","NORMAL"))</f>
        <v>NORMAL</v>
      </c>
    </row>
    <row r="60" spans="1:14" ht="115.2" x14ac:dyDescent="0.3">
      <c r="A60" s="18">
        <v>45617</v>
      </c>
      <c r="B60" s="7" t="s">
        <v>86</v>
      </c>
      <c r="C60" s="7" t="s">
        <v>16</v>
      </c>
      <c r="D60" s="7" t="s">
        <v>184</v>
      </c>
      <c r="E60" s="7">
        <v>0</v>
      </c>
      <c r="F60" s="7" t="s">
        <v>87</v>
      </c>
      <c r="G60" s="7" t="s">
        <v>71</v>
      </c>
      <c r="H60" s="7" t="s">
        <v>18</v>
      </c>
      <c r="I60" s="18" t="s">
        <v>86</v>
      </c>
      <c r="J60" s="20">
        <v>0</v>
      </c>
      <c r="K60" s="37" t="s">
        <v>89</v>
      </c>
      <c r="L60" s="37" t="s">
        <v>89</v>
      </c>
      <c r="M60" s="37" t="s">
        <v>108</v>
      </c>
      <c r="N60" s="7" t="str">
        <f>IF(Tabela1[[#This Row],[DATA INSPECAO]]="","",IF(AND($F60="Substituido",J60&gt;0,),"ALTA PRIORIDADE","NORMAL"))</f>
        <v>NORMAL</v>
      </c>
    </row>
    <row r="61" spans="1:14" ht="57.6" x14ac:dyDescent="0.3">
      <c r="A61" s="18">
        <v>45619</v>
      </c>
      <c r="B61" s="7" t="s">
        <v>86</v>
      </c>
      <c r="C61" s="7" t="s">
        <v>81</v>
      </c>
      <c r="D61" s="7" t="s">
        <v>209</v>
      </c>
      <c r="E61" s="7">
        <v>0</v>
      </c>
      <c r="F61" s="7" t="s">
        <v>87</v>
      </c>
      <c r="G61" s="7" t="s">
        <v>71</v>
      </c>
      <c r="H61" s="7" t="s">
        <v>18</v>
      </c>
      <c r="I61" s="18" t="s">
        <v>86</v>
      </c>
      <c r="J61" s="20">
        <v>0</v>
      </c>
      <c r="K61" s="37" t="s">
        <v>88</v>
      </c>
      <c r="L61" s="37" t="s">
        <v>88</v>
      </c>
      <c r="M61" s="37" t="s">
        <v>137</v>
      </c>
      <c r="N61" s="7" t="str">
        <f>IF(Tabela1[[#This Row],[DATA INSPECAO]]="","",IF(AND($F61="Substituido",J61&gt;0,),"ALTA PRIORIDADE","NORMAL"))</f>
        <v>NORMAL</v>
      </c>
    </row>
    <row r="62" spans="1:14" ht="115.2" x14ac:dyDescent="0.3">
      <c r="A62" s="18">
        <v>45619</v>
      </c>
      <c r="B62" s="7" t="s">
        <v>86</v>
      </c>
      <c r="C62" s="7" t="s">
        <v>81</v>
      </c>
      <c r="D62" s="7" t="s">
        <v>211</v>
      </c>
      <c r="E62" s="7">
        <v>20</v>
      </c>
      <c r="F62" s="7" t="s">
        <v>15</v>
      </c>
      <c r="G62" s="7" t="s">
        <v>71</v>
      </c>
      <c r="H62" s="7" t="s">
        <v>18</v>
      </c>
      <c r="I62" s="18">
        <v>45639</v>
      </c>
      <c r="J62" s="20" t="s">
        <v>86</v>
      </c>
      <c r="K62" s="37" t="s">
        <v>88</v>
      </c>
      <c r="L62" s="37" t="s">
        <v>90</v>
      </c>
      <c r="M62" s="37" t="s">
        <v>138</v>
      </c>
      <c r="N62" s="7" t="str">
        <f>IF(Tabela1[[#This Row],[DATA INSPECAO]]="","",IF(AND($F62="Substituido",J62&gt;0,),"ALTA PRIORIDADE","NORMAL"))</f>
        <v>NORMAL</v>
      </c>
    </row>
    <row r="63" spans="1:14" ht="57.6" x14ac:dyDescent="0.3">
      <c r="A63" s="18">
        <v>45621</v>
      </c>
      <c r="B63" s="7" t="s">
        <v>86</v>
      </c>
      <c r="C63" s="7" t="s">
        <v>73</v>
      </c>
      <c r="D63" s="7" t="s">
        <v>194</v>
      </c>
      <c r="E63" s="7">
        <v>0</v>
      </c>
      <c r="F63" s="7" t="s">
        <v>87</v>
      </c>
      <c r="G63" s="7" t="s">
        <v>71</v>
      </c>
      <c r="H63" s="7" t="s">
        <v>18</v>
      </c>
      <c r="I63" s="18" t="s">
        <v>86</v>
      </c>
      <c r="J63" s="20">
        <v>0</v>
      </c>
      <c r="K63" s="37" t="s">
        <v>88</v>
      </c>
      <c r="L63" s="37" t="s">
        <v>88</v>
      </c>
      <c r="M63" s="37" t="s">
        <v>122</v>
      </c>
      <c r="N63" s="7" t="str">
        <f>IF(Tabela1[[#This Row],[DATA INSPECAO]]="","",IF(AND($F63="Substituido",J63&gt;0,),"ALTA PRIORIDADE","NORMAL"))</f>
        <v>NORMAL</v>
      </c>
    </row>
    <row r="64" spans="1:14" ht="28.8" x14ac:dyDescent="0.3">
      <c r="A64" s="18">
        <v>45622</v>
      </c>
      <c r="B64" s="7">
        <v>75616</v>
      </c>
      <c r="C64" s="7" t="s">
        <v>16</v>
      </c>
      <c r="D64" s="87" t="s">
        <v>187</v>
      </c>
      <c r="E64" s="7">
        <v>3</v>
      </c>
      <c r="F64" s="7" t="s">
        <v>15</v>
      </c>
      <c r="G64" s="7" t="s">
        <v>85</v>
      </c>
      <c r="H64" s="7" t="s">
        <v>74</v>
      </c>
      <c r="I64" s="18">
        <v>45643</v>
      </c>
      <c r="J64" s="20">
        <v>21</v>
      </c>
      <c r="K64" s="37" t="s">
        <v>90</v>
      </c>
      <c r="L64" s="37" t="s">
        <v>90</v>
      </c>
      <c r="M64" s="37" t="s">
        <v>139</v>
      </c>
      <c r="N64" s="7" t="str">
        <f>IF(Tabela1[[#This Row],[DATA INSPECAO]]="","",IF(AND($F64="Substituido",J64&gt;0,),"ALTA PRIORIDADE","NORMAL"))</f>
        <v>NORMAL</v>
      </c>
    </row>
    <row r="65" spans="1:14" ht="57.6" x14ac:dyDescent="0.3">
      <c r="A65" s="18">
        <v>45623</v>
      </c>
      <c r="B65" s="7" t="s">
        <v>86</v>
      </c>
      <c r="C65" s="7" t="s">
        <v>16</v>
      </c>
      <c r="D65" s="7" t="s">
        <v>180</v>
      </c>
      <c r="E65" s="7">
        <v>0</v>
      </c>
      <c r="F65" s="7" t="s">
        <v>87</v>
      </c>
      <c r="G65" s="7" t="s">
        <v>71</v>
      </c>
      <c r="H65" s="7" t="s">
        <v>18</v>
      </c>
      <c r="I65" s="18" t="s">
        <v>86</v>
      </c>
      <c r="J65" s="20">
        <v>0</v>
      </c>
      <c r="K65" s="37" t="s">
        <v>88</v>
      </c>
      <c r="L65" s="37" t="s">
        <v>88</v>
      </c>
      <c r="M65" s="37" t="s">
        <v>140</v>
      </c>
      <c r="N65" s="7" t="str">
        <f>IF(Tabela1[[#This Row],[DATA INSPECAO]]="","",IF(AND($F65="Substituido",J65&gt;0,),"ALTA PRIORIDADE","NORMAL"))</f>
        <v>NORMAL</v>
      </c>
    </row>
    <row r="66" spans="1:14" ht="57.6" x14ac:dyDescent="0.3">
      <c r="A66" s="18">
        <v>45623</v>
      </c>
      <c r="B66" s="7" t="s">
        <v>86</v>
      </c>
      <c r="C66" s="7" t="s">
        <v>73</v>
      </c>
      <c r="D66" s="7" t="s">
        <v>196</v>
      </c>
      <c r="E66" s="7">
        <v>0</v>
      </c>
      <c r="F66" s="7" t="s">
        <v>87</v>
      </c>
      <c r="G66" s="7" t="s">
        <v>71</v>
      </c>
      <c r="H66" s="7" t="s">
        <v>18</v>
      </c>
      <c r="I66" s="18" t="s">
        <v>86</v>
      </c>
      <c r="J66" s="20">
        <v>0</v>
      </c>
      <c r="K66" s="37" t="s">
        <v>88</v>
      </c>
      <c r="L66" s="37" t="s">
        <v>88</v>
      </c>
      <c r="M66" s="37" t="s">
        <v>122</v>
      </c>
      <c r="N66" s="7" t="str">
        <f>IF(Tabela1[[#This Row],[DATA INSPECAO]]="","",IF(AND($F66="Substituido",J66&gt;0,),"ALTA PRIORIDADE","NORMAL"))</f>
        <v>NORMAL</v>
      </c>
    </row>
    <row r="67" spans="1:14" ht="72" x14ac:dyDescent="0.3">
      <c r="A67" s="18">
        <v>45623</v>
      </c>
      <c r="B67" s="7" t="s">
        <v>86</v>
      </c>
      <c r="C67" s="7" t="s">
        <v>81</v>
      </c>
      <c r="D67" s="7" t="s">
        <v>208</v>
      </c>
      <c r="E67" s="7">
        <v>0</v>
      </c>
      <c r="F67" s="7" t="s">
        <v>87</v>
      </c>
      <c r="G67" s="7" t="s">
        <v>71</v>
      </c>
      <c r="H67" s="7" t="s">
        <v>18</v>
      </c>
      <c r="I67" s="18" t="s">
        <v>86</v>
      </c>
      <c r="J67" s="20">
        <v>0</v>
      </c>
      <c r="K67" s="37" t="s">
        <v>88</v>
      </c>
      <c r="L67" s="37" t="s">
        <v>88</v>
      </c>
      <c r="M67" s="37" t="s">
        <v>141</v>
      </c>
      <c r="N67" s="7" t="str">
        <f>IF(Tabela1[[#This Row],[DATA INSPECAO]]="","",IF(AND($F67="Substituido",J67&gt;0,),"ALTA PRIORIDADE","NORMAL"))</f>
        <v>NORMAL</v>
      </c>
    </row>
    <row r="68" spans="1:14" ht="86.4" x14ac:dyDescent="0.3">
      <c r="A68" s="18">
        <v>45623</v>
      </c>
      <c r="B68" s="7" t="s">
        <v>86</v>
      </c>
      <c r="C68" s="7" t="s">
        <v>16</v>
      </c>
      <c r="D68" s="7" t="s">
        <v>190</v>
      </c>
      <c r="E68" s="7">
        <v>0</v>
      </c>
      <c r="F68" s="88" t="s">
        <v>87</v>
      </c>
      <c r="G68" s="7" t="s">
        <v>71</v>
      </c>
      <c r="H68" s="7" t="s">
        <v>18</v>
      </c>
      <c r="I68" s="18" t="s">
        <v>86</v>
      </c>
      <c r="J68" s="20">
        <v>0</v>
      </c>
      <c r="K68" s="37" t="s">
        <v>88</v>
      </c>
      <c r="L68" s="37" t="s">
        <v>88</v>
      </c>
      <c r="M68" s="37" t="s">
        <v>142</v>
      </c>
      <c r="N68" s="7" t="str">
        <f>IF(Tabela1[[#This Row],[DATA INSPECAO]]="","",IF(AND($F68="Substituido",J68&gt;0,),"ALTA PRIORIDADE","NORMAL"))</f>
        <v>NORMAL</v>
      </c>
    </row>
    <row r="69" spans="1:14" ht="100.8" x14ac:dyDescent="0.3">
      <c r="A69" s="18">
        <v>45624</v>
      </c>
      <c r="B69" s="7" t="s">
        <v>86</v>
      </c>
      <c r="C69" s="7" t="s">
        <v>73</v>
      </c>
      <c r="D69" s="7" t="s">
        <v>192</v>
      </c>
      <c r="E69" s="7">
        <v>0</v>
      </c>
      <c r="F69" s="7" t="s">
        <v>87</v>
      </c>
      <c r="G69" s="7" t="s">
        <v>71</v>
      </c>
      <c r="H69" s="7" t="s">
        <v>18</v>
      </c>
      <c r="I69" s="18" t="s">
        <v>86</v>
      </c>
      <c r="J69" s="20">
        <v>0</v>
      </c>
      <c r="K69" s="37" t="s">
        <v>88</v>
      </c>
      <c r="L69" s="37" t="s">
        <v>88</v>
      </c>
      <c r="M69" s="37" t="s">
        <v>143</v>
      </c>
      <c r="N69" s="7" t="str">
        <f>IF(Tabela1[[#This Row],[DATA INSPECAO]]="","",IF(AND($F69="Substituido",J69&gt;0,),"ALTA PRIORIDADE","NORMAL"))</f>
        <v>NORMAL</v>
      </c>
    </row>
    <row r="70" spans="1:14" ht="86.4" x14ac:dyDescent="0.3">
      <c r="A70" s="57">
        <v>45624</v>
      </c>
      <c r="B70" s="44" t="s">
        <v>86</v>
      </c>
      <c r="C70" s="44" t="s">
        <v>73</v>
      </c>
      <c r="D70" s="44" t="s">
        <v>193</v>
      </c>
      <c r="E70" s="44">
        <v>0</v>
      </c>
      <c r="F70" s="44" t="s">
        <v>87</v>
      </c>
      <c r="G70" s="44" t="s">
        <v>71</v>
      </c>
      <c r="H70" s="44" t="s">
        <v>18</v>
      </c>
      <c r="I70" s="57" t="s">
        <v>86</v>
      </c>
      <c r="J70" s="58">
        <v>0</v>
      </c>
      <c r="K70" s="59" t="s">
        <v>88</v>
      </c>
      <c r="L70" s="59" t="s">
        <v>88</v>
      </c>
      <c r="M70" s="59" t="s">
        <v>144</v>
      </c>
      <c r="N70" s="44" t="str">
        <f>IF(Tabela1[[#This Row],[DATA INSPECAO]]="","",IF(AND($F70="Substituido",J70&gt;0,),"ALTA PRIORIDADE","NORMAL"))</f>
        <v>NORMAL</v>
      </c>
    </row>
    <row r="71" spans="1:14" ht="57.6" x14ac:dyDescent="0.3">
      <c r="A71" s="57">
        <v>45624</v>
      </c>
      <c r="B71" s="44" t="s">
        <v>86</v>
      </c>
      <c r="C71" s="44" t="s">
        <v>82</v>
      </c>
      <c r="D71" s="44" t="s">
        <v>218</v>
      </c>
      <c r="E71" s="44">
        <v>0</v>
      </c>
      <c r="F71" s="44" t="s">
        <v>87</v>
      </c>
      <c r="G71" s="44" t="s">
        <v>71</v>
      </c>
      <c r="H71" s="44" t="s">
        <v>18</v>
      </c>
      <c r="I71" s="57" t="s">
        <v>86</v>
      </c>
      <c r="J71" s="58">
        <v>0</v>
      </c>
      <c r="K71" s="59" t="s">
        <v>88</v>
      </c>
      <c r="L71" s="59" t="s">
        <v>88</v>
      </c>
      <c r="M71" s="59" t="s">
        <v>145</v>
      </c>
      <c r="N71" s="44" t="str">
        <f>IF(Tabela1[[#This Row],[DATA INSPECAO]]="","",IF(AND($F71="Substituido",J71&gt;0,),"ALTA PRIORIDADE","NORMAL"))</f>
        <v>NORMAL</v>
      </c>
    </row>
    <row r="72" spans="1:14" ht="57.6" x14ac:dyDescent="0.3">
      <c r="A72" s="18">
        <v>45624</v>
      </c>
      <c r="B72" s="7" t="s">
        <v>86</v>
      </c>
      <c r="C72" s="7" t="s">
        <v>82</v>
      </c>
      <c r="D72" s="7" t="s">
        <v>225</v>
      </c>
      <c r="E72" s="7">
        <v>0</v>
      </c>
      <c r="F72" s="7" t="s">
        <v>87</v>
      </c>
      <c r="G72" s="7" t="s">
        <v>71</v>
      </c>
      <c r="H72" s="7" t="s">
        <v>18</v>
      </c>
      <c r="I72" s="18" t="s">
        <v>86</v>
      </c>
      <c r="J72" s="20">
        <v>0</v>
      </c>
      <c r="K72" s="37" t="s">
        <v>88</v>
      </c>
      <c r="L72" s="37" t="s">
        <v>88</v>
      </c>
      <c r="M72" s="37" t="s">
        <v>146</v>
      </c>
      <c r="N72" s="7" t="str">
        <f>IF(Tabela1[[#This Row],[DATA INSPECAO]]="","",IF(AND($F72="Substituido",J72&gt;0,),"ALTA PRIORIDADE","NORMAL"))</f>
        <v>NORMAL</v>
      </c>
    </row>
    <row r="73" spans="1:14" ht="57.6" x14ac:dyDescent="0.3">
      <c r="A73" s="18">
        <v>45624</v>
      </c>
      <c r="B73" s="7" t="s">
        <v>86</v>
      </c>
      <c r="C73" s="7" t="s">
        <v>81</v>
      </c>
      <c r="D73" s="7" t="s">
        <v>212</v>
      </c>
      <c r="E73" s="7">
        <v>0</v>
      </c>
      <c r="F73" s="7" t="s">
        <v>87</v>
      </c>
      <c r="G73" s="7" t="s">
        <v>71</v>
      </c>
      <c r="H73" s="7" t="s">
        <v>18</v>
      </c>
      <c r="I73" s="18" t="s">
        <v>86</v>
      </c>
      <c r="J73" s="20">
        <v>0</v>
      </c>
      <c r="K73" s="37" t="s">
        <v>89</v>
      </c>
      <c r="L73" s="37" t="s">
        <v>88</v>
      </c>
      <c r="M73" s="37" t="s">
        <v>147</v>
      </c>
      <c r="N73" s="7" t="str">
        <f>IF(Tabela1[[#This Row],[DATA INSPECAO]]="","",IF(AND($F73="Substituido",J73&gt;0,),"ALTA PRIORIDADE","NORMAL"))</f>
        <v>NORMAL</v>
      </c>
    </row>
    <row r="74" spans="1:14" ht="144" x14ac:dyDescent="0.3">
      <c r="A74" s="18">
        <v>45625</v>
      </c>
      <c r="B74" s="7" t="s">
        <v>86</v>
      </c>
      <c r="C74" s="7" t="s">
        <v>82</v>
      </c>
      <c r="D74" s="7" t="s">
        <v>221</v>
      </c>
      <c r="E74" s="7">
        <v>0</v>
      </c>
      <c r="F74" s="7" t="s">
        <v>87</v>
      </c>
      <c r="G74" s="7" t="s">
        <v>71</v>
      </c>
      <c r="H74" s="7" t="s">
        <v>18</v>
      </c>
      <c r="I74" s="18" t="s">
        <v>86</v>
      </c>
      <c r="J74" s="20">
        <v>0</v>
      </c>
      <c r="K74" s="37" t="s">
        <v>88</v>
      </c>
      <c r="L74" s="37" t="s">
        <v>88</v>
      </c>
      <c r="M74" s="37" t="s">
        <v>148</v>
      </c>
      <c r="N74" s="7" t="str">
        <f>IF(Tabela1[[#This Row],[DATA INSPECAO]]="","",IF(AND($F74="Substituido",J74&gt;0,),"ALTA PRIORIDADE","NORMAL"))</f>
        <v>NORMAL</v>
      </c>
    </row>
    <row r="75" spans="1:14" ht="57.6" x14ac:dyDescent="0.3">
      <c r="A75" s="18">
        <v>45626</v>
      </c>
      <c r="B75" s="7" t="s">
        <v>86</v>
      </c>
      <c r="C75" s="7" t="s">
        <v>82</v>
      </c>
      <c r="D75" s="7" t="s">
        <v>219</v>
      </c>
      <c r="E75" s="7">
        <v>0</v>
      </c>
      <c r="F75" s="7" t="s">
        <v>87</v>
      </c>
      <c r="G75" s="7" t="s">
        <v>71</v>
      </c>
      <c r="H75" s="7" t="s">
        <v>18</v>
      </c>
      <c r="I75" s="18" t="s">
        <v>86</v>
      </c>
      <c r="J75" s="20">
        <v>0</v>
      </c>
      <c r="K75" s="37" t="s">
        <v>88</v>
      </c>
      <c r="L75" s="37" t="s">
        <v>88</v>
      </c>
      <c r="M75" s="37" t="s">
        <v>149</v>
      </c>
      <c r="N75" s="7" t="str">
        <f>IF(Tabela1[[#This Row],[DATA INSPECAO]]="","",IF(AND($F75="Substituido",J75&gt;0,),"ALTA PRIORIDADE","NORMAL"))</f>
        <v>NORMAL</v>
      </c>
    </row>
    <row r="76" spans="1:14" ht="28.8" x14ac:dyDescent="0.3">
      <c r="A76" s="18">
        <v>45628</v>
      </c>
      <c r="B76" s="7" t="s">
        <v>86</v>
      </c>
      <c r="C76" s="7" t="s">
        <v>73</v>
      </c>
      <c r="D76" s="7" t="s">
        <v>203</v>
      </c>
      <c r="E76" s="7">
        <v>0</v>
      </c>
      <c r="F76" s="7" t="s">
        <v>87</v>
      </c>
      <c r="G76" s="7" t="s">
        <v>71</v>
      </c>
      <c r="H76" s="7" t="s">
        <v>18</v>
      </c>
      <c r="I76" s="18" t="s">
        <v>86</v>
      </c>
      <c r="J76" s="20">
        <v>0</v>
      </c>
      <c r="K76" s="37" t="s">
        <v>88</v>
      </c>
      <c r="L76" s="37" t="s">
        <v>88</v>
      </c>
      <c r="M76" s="37" t="s">
        <v>150</v>
      </c>
      <c r="N76" s="7" t="str">
        <f>IF(Tabela1[[#This Row],[DATA INSPECAO]]="","",IF(AND($F76="Substituido",J76&gt;0,),"ALTA PRIORIDADE","NORMAL"))</f>
        <v>NORMAL</v>
      </c>
    </row>
    <row r="77" spans="1:14" ht="86.4" x14ac:dyDescent="0.3">
      <c r="A77" s="18">
        <v>45628</v>
      </c>
      <c r="B77" s="7" t="s">
        <v>86</v>
      </c>
      <c r="C77" s="7" t="s">
        <v>81</v>
      </c>
      <c r="D77" s="7" t="s">
        <v>207</v>
      </c>
      <c r="E77" s="7">
        <v>0</v>
      </c>
      <c r="F77" s="7" t="s">
        <v>87</v>
      </c>
      <c r="G77" s="7" t="s">
        <v>71</v>
      </c>
      <c r="H77" s="7" t="s">
        <v>18</v>
      </c>
      <c r="I77" s="18" t="s">
        <v>86</v>
      </c>
      <c r="J77" s="20">
        <v>0</v>
      </c>
      <c r="K77" s="37" t="s">
        <v>89</v>
      </c>
      <c r="L77" s="37" t="s">
        <v>89</v>
      </c>
      <c r="M77" s="37" t="s">
        <v>151</v>
      </c>
      <c r="N77" s="7" t="str">
        <f>IF(Tabela1[[#This Row],[DATA INSPECAO]]="","",IF(AND($F77="Substituido",J77&gt;0,),"ALTA PRIORIDADE","NORMAL"))</f>
        <v>NORMAL</v>
      </c>
    </row>
    <row r="78" spans="1:14" ht="57.6" x14ac:dyDescent="0.3">
      <c r="A78" s="18">
        <v>45629</v>
      </c>
      <c r="B78" s="7" t="s">
        <v>86</v>
      </c>
      <c r="C78" s="7" t="s">
        <v>16</v>
      </c>
      <c r="D78" s="7" t="s">
        <v>182</v>
      </c>
      <c r="E78" s="7">
        <v>0</v>
      </c>
      <c r="F78" s="7" t="s">
        <v>87</v>
      </c>
      <c r="G78" s="7" t="s">
        <v>71</v>
      </c>
      <c r="H78" s="7" t="s">
        <v>18</v>
      </c>
      <c r="I78" s="18" t="s">
        <v>86</v>
      </c>
      <c r="J78" s="20">
        <v>0</v>
      </c>
      <c r="K78" s="37" t="s">
        <v>88</v>
      </c>
      <c r="L78" s="37" t="s">
        <v>88</v>
      </c>
      <c r="M78" s="37" t="s">
        <v>105</v>
      </c>
      <c r="N78" s="7" t="str">
        <f>IF(Tabela1[[#This Row],[DATA INSPECAO]]="","",IF(AND($F78="Substituido",J78&gt;0,),"ALTA PRIORIDADE","NORMAL"))</f>
        <v>NORMAL</v>
      </c>
    </row>
    <row r="79" spans="1:14" ht="115.2" x14ac:dyDescent="0.3">
      <c r="A79" s="18">
        <v>45629</v>
      </c>
      <c r="B79" s="7" t="s">
        <v>86</v>
      </c>
      <c r="C79" s="7" t="s">
        <v>73</v>
      </c>
      <c r="D79" s="7" t="s">
        <v>200</v>
      </c>
      <c r="E79" s="7">
        <v>10</v>
      </c>
      <c r="F79" s="7" t="s">
        <v>15</v>
      </c>
      <c r="G79" s="7" t="s">
        <v>71</v>
      </c>
      <c r="H79" s="7" t="s">
        <v>18</v>
      </c>
      <c r="I79" s="18">
        <v>45632</v>
      </c>
      <c r="J79" s="20">
        <v>0</v>
      </c>
      <c r="K79" s="37" t="s">
        <v>88</v>
      </c>
      <c r="L79" s="37" t="s">
        <v>88</v>
      </c>
      <c r="M79" s="37" t="s">
        <v>152</v>
      </c>
      <c r="N79" s="7" t="str">
        <f>IF(Tabela1[[#This Row],[DATA INSPECAO]]="","",IF(AND($F79="Substituido",J79&gt;0,),"ALTA PRIORIDADE","NORMAL"))</f>
        <v>NORMAL</v>
      </c>
    </row>
    <row r="80" spans="1:14" ht="57.6" x14ac:dyDescent="0.3">
      <c r="A80" s="18">
        <v>45629</v>
      </c>
      <c r="B80" s="7" t="s">
        <v>86</v>
      </c>
      <c r="C80" s="7" t="s">
        <v>81</v>
      </c>
      <c r="D80" s="7" t="s">
        <v>213</v>
      </c>
      <c r="E80" s="7">
        <v>0</v>
      </c>
      <c r="F80" s="7" t="s">
        <v>87</v>
      </c>
      <c r="G80" s="7" t="s">
        <v>71</v>
      </c>
      <c r="H80" s="7" t="s">
        <v>18</v>
      </c>
      <c r="I80" s="18" t="s">
        <v>86</v>
      </c>
      <c r="J80" s="20">
        <v>0</v>
      </c>
      <c r="K80" s="37" t="s">
        <v>88</v>
      </c>
      <c r="L80" s="37" t="s">
        <v>88</v>
      </c>
      <c r="M80" s="37" t="s">
        <v>122</v>
      </c>
      <c r="N80" s="7" t="str">
        <f>IF(Tabela1[[#This Row],[DATA INSPECAO]]="","",IF(AND($F80="Substituido",J80&gt;0,),"ALTA PRIORIDADE","NORMAL"))</f>
        <v>NORMAL</v>
      </c>
    </row>
    <row r="81" spans="1:14" ht="72" x14ac:dyDescent="0.3">
      <c r="A81" s="18">
        <v>45629</v>
      </c>
      <c r="B81" s="7" t="s">
        <v>86</v>
      </c>
      <c r="C81" s="7" t="s">
        <v>16</v>
      </c>
      <c r="D81" s="7" t="s">
        <v>189</v>
      </c>
      <c r="E81" s="7">
        <v>0</v>
      </c>
      <c r="F81" s="7" t="s">
        <v>87</v>
      </c>
      <c r="G81" s="7" t="s">
        <v>71</v>
      </c>
      <c r="H81" s="7" t="s">
        <v>18</v>
      </c>
      <c r="I81" s="18" t="s">
        <v>86</v>
      </c>
      <c r="J81" s="20">
        <v>0</v>
      </c>
      <c r="K81" s="37" t="s">
        <v>88</v>
      </c>
      <c r="L81" s="37" t="s">
        <v>88</v>
      </c>
      <c r="M81" s="37" t="s">
        <v>153</v>
      </c>
      <c r="N81" s="7" t="str">
        <f>IF(Tabela1[[#This Row],[DATA INSPECAO]]="","",IF(AND($F81="Substituido",J81&gt;0,),"ALTA PRIORIDADE","NORMAL"))</f>
        <v>NORMAL</v>
      </c>
    </row>
    <row r="82" spans="1:14" ht="57.6" x14ac:dyDescent="0.3">
      <c r="A82" s="18">
        <v>45630</v>
      </c>
      <c r="B82" s="7">
        <v>67373</v>
      </c>
      <c r="C82" s="7" t="s">
        <v>73</v>
      </c>
      <c r="D82" s="7" t="s">
        <v>198</v>
      </c>
      <c r="E82" s="7">
        <v>10</v>
      </c>
      <c r="F82" s="7" t="s">
        <v>15</v>
      </c>
      <c r="G82" s="7" t="s">
        <v>71</v>
      </c>
      <c r="H82" s="7" t="s">
        <v>18</v>
      </c>
      <c r="I82" s="18">
        <v>45631</v>
      </c>
      <c r="J82" s="20">
        <v>0</v>
      </c>
      <c r="K82" s="37" t="s">
        <v>88</v>
      </c>
      <c r="L82" s="37" t="s">
        <v>90</v>
      </c>
      <c r="M82" s="37" t="s">
        <v>169</v>
      </c>
      <c r="N82" s="7" t="str">
        <f>IF(Tabela1[[#This Row],[DATA INSPECAO]]="","",IF(AND($F82="Substituido",J82&gt;0,),"ALTA PRIORIDADE","NORMAL"))</f>
        <v>NORMAL</v>
      </c>
    </row>
    <row r="83" spans="1:14" ht="57.6" x14ac:dyDescent="0.3">
      <c r="A83" s="18">
        <v>45630</v>
      </c>
      <c r="B83" s="7" t="s">
        <v>86</v>
      </c>
      <c r="C83" s="7" t="s">
        <v>73</v>
      </c>
      <c r="D83" s="7" t="s">
        <v>201</v>
      </c>
      <c r="E83" s="7">
        <v>0</v>
      </c>
      <c r="F83" s="7" t="s">
        <v>87</v>
      </c>
      <c r="G83" s="7" t="s">
        <v>71</v>
      </c>
      <c r="H83" s="7" t="s">
        <v>18</v>
      </c>
      <c r="I83" s="18" t="s">
        <v>86</v>
      </c>
      <c r="J83" s="20">
        <v>0</v>
      </c>
      <c r="K83" s="37" t="s">
        <v>89</v>
      </c>
      <c r="L83" s="37" t="s">
        <v>89</v>
      </c>
      <c r="M83" s="37" t="s">
        <v>154</v>
      </c>
      <c r="N83" s="7" t="str">
        <f>IF(Tabela1[[#This Row],[DATA INSPECAO]]="","",IF(AND($F83="Substituido",J83&gt;0,),"ALTA PRIORIDADE","NORMAL"))</f>
        <v>NORMAL</v>
      </c>
    </row>
    <row r="84" spans="1:14" ht="144" x14ac:dyDescent="0.3">
      <c r="A84" s="18">
        <v>45630</v>
      </c>
      <c r="B84" s="7" t="s">
        <v>86</v>
      </c>
      <c r="C84" s="7" t="s">
        <v>81</v>
      </c>
      <c r="D84" s="7" t="s">
        <v>210</v>
      </c>
      <c r="E84" s="7">
        <v>0</v>
      </c>
      <c r="F84" s="7" t="s">
        <v>87</v>
      </c>
      <c r="G84" s="7" t="s">
        <v>71</v>
      </c>
      <c r="H84" s="7" t="s">
        <v>18</v>
      </c>
      <c r="I84" s="18">
        <v>45630</v>
      </c>
      <c r="J84" s="20" t="s">
        <v>83</v>
      </c>
      <c r="K84" s="37" t="s">
        <v>89</v>
      </c>
      <c r="L84" s="37" t="s">
        <v>88</v>
      </c>
      <c r="M84" s="37" t="s">
        <v>155</v>
      </c>
      <c r="N84" s="7" t="str">
        <f>IF(Tabela1[[#This Row],[DATA INSPECAO]]="","",IF(AND($F84="Substituido",J84&gt;0,),"ALTA PRIORIDADE","NORMAL"))</f>
        <v>NORMAL</v>
      </c>
    </row>
    <row r="85" spans="1:14" ht="28.8" x14ac:dyDescent="0.3">
      <c r="A85" s="18">
        <v>45631</v>
      </c>
      <c r="B85" s="7" t="s">
        <v>86</v>
      </c>
      <c r="C85" s="7" t="s">
        <v>81</v>
      </c>
      <c r="D85" s="7" t="s">
        <v>214</v>
      </c>
      <c r="E85" s="7">
        <v>0</v>
      </c>
      <c r="F85" s="7" t="s">
        <v>87</v>
      </c>
      <c r="G85" s="7" t="s">
        <v>71</v>
      </c>
      <c r="H85" s="7" t="s">
        <v>18</v>
      </c>
      <c r="I85" s="18" t="s">
        <v>86</v>
      </c>
      <c r="J85" s="20">
        <v>0</v>
      </c>
      <c r="K85" s="37" t="s">
        <v>89</v>
      </c>
      <c r="L85" s="37" t="s">
        <v>88</v>
      </c>
      <c r="M85" s="37" t="s">
        <v>112</v>
      </c>
      <c r="N85" s="7" t="str">
        <f>IF(Tabela1[[#This Row],[DATA INSPECAO]]="","",IF(AND($F85="Substituido",J85&gt;0,),"ALTA PRIORIDADE","NORMAL"))</f>
        <v>NORMAL</v>
      </c>
    </row>
    <row r="86" spans="1:14" ht="72" x14ac:dyDescent="0.3">
      <c r="A86" s="18">
        <v>45632</v>
      </c>
      <c r="B86" s="7" t="s">
        <v>86</v>
      </c>
      <c r="C86" s="7" t="s">
        <v>16</v>
      </c>
      <c r="D86" s="7" t="s">
        <v>185</v>
      </c>
      <c r="E86" s="7">
        <v>0</v>
      </c>
      <c r="F86" s="7" t="s">
        <v>87</v>
      </c>
      <c r="G86" s="7" t="s">
        <v>71</v>
      </c>
      <c r="H86" s="7" t="s">
        <v>18</v>
      </c>
      <c r="I86" s="18" t="s">
        <v>86</v>
      </c>
      <c r="J86" s="20">
        <v>0</v>
      </c>
      <c r="K86" s="37" t="s">
        <v>88</v>
      </c>
      <c r="L86" s="37" t="s">
        <v>88</v>
      </c>
      <c r="M86" s="37" t="s">
        <v>102</v>
      </c>
      <c r="N86" s="7" t="str">
        <f>IF(Tabela1[[#This Row],[DATA INSPECAO]]="","",IF(AND($F86="Substituido",J86&gt;0,),"ALTA PRIORIDADE","NORMAL"))</f>
        <v>NORMAL</v>
      </c>
    </row>
    <row r="87" spans="1:14" ht="19.95" customHeight="1" x14ac:dyDescent="0.3">
      <c r="A87" s="18">
        <v>45635</v>
      </c>
      <c r="B87" s="7" t="s">
        <v>86</v>
      </c>
      <c r="C87" s="7" t="s">
        <v>73</v>
      </c>
      <c r="D87" s="87" t="s">
        <v>204</v>
      </c>
      <c r="E87" s="7">
        <v>10</v>
      </c>
      <c r="F87" s="7" t="s">
        <v>15</v>
      </c>
      <c r="G87" s="7" t="s">
        <v>71</v>
      </c>
      <c r="H87" s="7" t="s">
        <v>74</v>
      </c>
      <c r="I87" s="18">
        <v>45636</v>
      </c>
      <c r="J87" s="20">
        <v>1</v>
      </c>
      <c r="K87" s="37" t="s">
        <v>88</v>
      </c>
      <c r="L87" s="37" t="s">
        <v>89</v>
      </c>
      <c r="M87" s="37"/>
      <c r="N87" s="7" t="str">
        <f>IF(Tabela1[[#This Row],[DATA INSPECAO]]="","",IF(AND($F87="Substituido",J87&gt;0,),"ALTA PRIORIDADE","NORMAL"))</f>
        <v>NORMAL</v>
      </c>
    </row>
    <row r="88" spans="1:14" ht="28.8" x14ac:dyDescent="0.3">
      <c r="A88" s="18">
        <v>45637</v>
      </c>
      <c r="B88" s="7" t="s">
        <v>86</v>
      </c>
      <c r="C88" s="7" t="s">
        <v>73</v>
      </c>
      <c r="D88" s="7" t="s">
        <v>191</v>
      </c>
      <c r="E88" s="7">
        <v>0</v>
      </c>
      <c r="F88" s="7" t="s">
        <v>87</v>
      </c>
      <c r="G88" s="7" t="s">
        <v>71</v>
      </c>
      <c r="H88" s="7" t="s">
        <v>18</v>
      </c>
      <c r="I88" s="18" t="s">
        <v>86</v>
      </c>
      <c r="J88" s="20">
        <v>0</v>
      </c>
      <c r="K88" s="37" t="s">
        <v>88</v>
      </c>
      <c r="L88" s="37" t="s">
        <v>88</v>
      </c>
      <c r="M88" s="37" t="s">
        <v>156</v>
      </c>
      <c r="N88" s="7" t="str">
        <f>IF(Tabela1[[#This Row],[DATA INSPECAO]]="","",IF(AND($F88="Substituido",J88&gt;0,),"ALTA PRIORIDADE","NORMAL"))</f>
        <v>NORMAL</v>
      </c>
    </row>
    <row r="89" spans="1:14" ht="57.6" x14ac:dyDescent="0.3">
      <c r="A89" s="18">
        <v>45637</v>
      </c>
      <c r="B89" s="7" t="s">
        <v>86</v>
      </c>
      <c r="C89" s="7" t="s">
        <v>16</v>
      </c>
      <c r="D89" s="7" t="s">
        <v>187</v>
      </c>
      <c r="E89" s="7">
        <v>0</v>
      </c>
      <c r="F89" s="7" t="s">
        <v>87</v>
      </c>
      <c r="G89" s="7" t="s">
        <v>71</v>
      </c>
      <c r="H89" s="7" t="s">
        <v>18</v>
      </c>
      <c r="I89" s="18" t="s">
        <v>86</v>
      </c>
      <c r="J89" s="20">
        <v>0</v>
      </c>
      <c r="K89" s="37" t="s">
        <v>88</v>
      </c>
      <c r="L89" s="37" t="s">
        <v>88</v>
      </c>
      <c r="M89" s="37" t="s">
        <v>157</v>
      </c>
      <c r="N89" s="7" t="str">
        <f>IF(Tabela1[[#This Row],[DATA INSPECAO]]="","",IF(AND($F89="Substituido",J89&gt;0,),"ALTA PRIORIDADE","NORMAL"))</f>
        <v>NORMAL</v>
      </c>
    </row>
    <row r="90" spans="1:14" ht="43.2" x14ac:dyDescent="0.3">
      <c r="A90" s="18">
        <v>45639</v>
      </c>
      <c r="B90" s="7" t="s">
        <v>86</v>
      </c>
      <c r="C90" s="7" t="s">
        <v>81</v>
      </c>
      <c r="D90" s="7" t="s">
        <v>205</v>
      </c>
      <c r="E90" s="7">
        <v>0</v>
      </c>
      <c r="F90" s="7" t="s">
        <v>87</v>
      </c>
      <c r="G90" s="7" t="s">
        <v>71</v>
      </c>
      <c r="H90" s="7" t="s">
        <v>18</v>
      </c>
      <c r="I90" s="18" t="s">
        <v>86</v>
      </c>
      <c r="J90" s="20">
        <v>0</v>
      </c>
      <c r="K90" s="37" t="s">
        <v>88</v>
      </c>
      <c r="L90" s="37" t="s">
        <v>88</v>
      </c>
      <c r="M90" s="37" t="s">
        <v>126</v>
      </c>
      <c r="N90" s="7" t="str">
        <f>IF(Tabela1[[#This Row],[DATA INSPECAO]]="","",IF(AND($F90="Substituido",J90&gt;0,),"ALTA PRIORIDADE","NORMAL"))</f>
        <v>NORMAL</v>
      </c>
    </row>
    <row r="91" spans="1:14" x14ac:dyDescent="0.3">
      <c r="A91" s="18">
        <v>45639</v>
      </c>
      <c r="B91" s="7" t="s">
        <v>86</v>
      </c>
      <c r="C91" s="7" t="s">
        <v>73</v>
      </c>
      <c r="D91" s="7" t="s">
        <v>202</v>
      </c>
      <c r="E91" s="7">
        <v>0</v>
      </c>
      <c r="F91" s="7" t="s">
        <v>87</v>
      </c>
      <c r="G91" s="7" t="s">
        <v>71</v>
      </c>
      <c r="H91" s="7" t="s">
        <v>18</v>
      </c>
      <c r="I91" s="18" t="s">
        <v>86</v>
      </c>
      <c r="J91" s="20">
        <v>0</v>
      </c>
      <c r="K91" s="37" t="s">
        <v>88</v>
      </c>
      <c r="L91" s="37" t="s">
        <v>88</v>
      </c>
      <c r="M91" s="37" t="s">
        <v>135</v>
      </c>
      <c r="N91" s="7" t="str">
        <f>IF(Tabela1[[#This Row],[DATA INSPECAO]]="","",IF(AND($F91="Substituido",J91&gt;0,),"ALTA PRIORIDADE","NORMAL"))</f>
        <v>NORMAL</v>
      </c>
    </row>
    <row r="92" spans="1:14" ht="57.6" x14ac:dyDescent="0.3">
      <c r="A92" s="18">
        <v>45639</v>
      </c>
      <c r="B92" s="7" t="s">
        <v>86</v>
      </c>
      <c r="C92" s="7" t="s">
        <v>81</v>
      </c>
      <c r="D92" s="7" t="s">
        <v>215</v>
      </c>
      <c r="E92" s="7">
        <v>0</v>
      </c>
      <c r="F92" s="7" t="s">
        <v>87</v>
      </c>
      <c r="G92" s="7" t="s">
        <v>71</v>
      </c>
      <c r="H92" s="7" t="s">
        <v>18</v>
      </c>
      <c r="I92" s="18" t="s">
        <v>86</v>
      </c>
      <c r="J92" s="20">
        <v>0</v>
      </c>
      <c r="K92" s="37" t="s">
        <v>88</v>
      </c>
      <c r="L92" s="37" t="s">
        <v>88</v>
      </c>
      <c r="M92" s="37" t="s">
        <v>158</v>
      </c>
      <c r="N92" s="7" t="str">
        <f>IF(Tabela1[[#This Row],[DATA INSPECAO]]="","",IF(AND($F92="Substituido",J92&gt;0,),"ALTA PRIORIDADE","NORMAL"))</f>
        <v>NORMAL</v>
      </c>
    </row>
    <row r="93" spans="1:14" ht="57.6" x14ac:dyDescent="0.3">
      <c r="A93" s="18">
        <v>45642</v>
      </c>
      <c r="B93" s="7" t="s">
        <v>86</v>
      </c>
      <c r="C93" s="7" t="s">
        <v>16</v>
      </c>
      <c r="D93" s="7" t="s">
        <v>181</v>
      </c>
      <c r="E93" s="7">
        <v>0</v>
      </c>
      <c r="F93" s="7" t="s">
        <v>87</v>
      </c>
      <c r="G93" s="7" t="s">
        <v>71</v>
      </c>
      <c r="H93" s="7" t="s">
        <v>18</v>
      </c>
      <c r="I93" s="18" t="s">
        <v>86</v>
      </c>
      <c r="J93" s="20">
        <v>0</v>
      </c>
      <c r="K93" s="37" t="s">
        <v>88</v>
      </c>
      <c r="L93" s="37" t="s">
        <v>88</v>
      </c>
      <c r="M93" s="37" t="s">
        <v>159</v>
      </c>
      <c r="N93" s="7" t="str">
        <f>IF(Tabela1[[#This Row],[DATA INSPECAO]]="","",IF(AND($F93="Substituido",J93&gt;0,),"ALTA PRIORIDADE","NORMAL"))</f>
        <v>NORMAL</v>
      </c>
    </row>
    <row r="94" spans="1:14" ht="72" x14ac:dyDescent="0.3">
      <c r="A94" s="18">
        <v>45642</v>
      </c>
      <c r="B94" s="7" t="s">
        <v>86</v>
      </c>
      <c r="C94" s="7" t="s">
        <v>16</v>
      </c>
      <c r="D94" s="7" t="s">
        <v>186</v>
      </c>
      <c r="E94" s="7">
        <v>0</v>
      </c>
      <c r="F94" s="7" t="s">
        <v>87</v>
      </c>
      <c r="G94" s="7" t="s">
        <v>71</v>
      </c>
      <c r="H94" s="7" t="s">
        <v>18</v>
      </c>
      <c r="I94" s="18" t="s">
        <v>86</v>
      </c>
      <c r="J94" s="20">
        <v>0</v>
      </c>
      <c r="K94" s="37" t="s">
        <v>88</v>
      </c>
      <c r="L94" s="37" t="s">
        <v>88</v>
      </c>
      <c r="M94" s="37" t="s">
        <v>106</v>
      </c>
      <c r="N94" s="7" t="str">
        <f>IF(Tabela1[[#This Row],[DATA INSPECAO]]="","",IF(AND($F94="Substituido",J94&gt;0,),"ALTA PRIORIDADE","NORMAL"))</f>
        <v>NORMAL</v>
      </c>
    </row>
    <row r="95" spans="1:14" x14ac:dyDescent="0.3">
      <c r="A95" s="18">
        <v>45644</v>
      </c>
      <c r="B95" s="7" t="s">
        <v>86</v>
      </c>
      <c r="C95" s="7" t="s">
        <v>81</v>
      </c>
      <c r="D95" s="7" t="s">
        <v>206</v>
      </c>
      <c r="E95" s="7">
        <v>0</v>
      </c>
      <c r="F95" s="7" t="s">
        <v>87</v>
      </c>
      <c r="G95" s="7" t="s">
        <v>71</v>
      </c>
      <c r="H95" s="7" t="s">
        <v>18</v>
      </c>
      <c r="I95" s="18" t="s">
        <v>86</v>
      </c>
      <c r="J95" s="20">
        <v>0</v>
      </c>
      <c r="K95" s="37" t="s">
        <v>88</v>
      </c>
      <c r="L95" s="37" t="s">
        <v>88</v>
      </c>
      <c r="M95" s="37" t="s">
        <v>84</v>
      </c>
      <c r="N95" s="7" t="str">
        <f>IF(Tabela1[[#This Row],[DATA INSPECAO]]="","",IF(AND($F95="Substituido",J95&gt;0,),"ALTA PRIORIDADE","NORMAL"))</f>
        <v>NORMAL</v>
      </c>
    </row>
    <row r="96" spans="1:14" ht="216" x14ac:dyDescent="0.3">
      <c r="A96" s="18">
        <v>45644</v>
      </c>
      <c r="B96" s="7" t="s">
        <v>86</v>
      </c>
      <c r="C96" s="7" t="s">
        <v>16</v>
      </c>
      <c r="D96" s="7" t="s">
        <v>188</v>
      </c>
      <c r="E96" s="7">
        <v>10</v>
      </c>
      <c r="F96" s="7" t="s">
        <v>15</v>
      </c>
      <c r="G96" s="7" t="s">
        <v>71</v>
      </c>
      <c r="H96" s="7" t="s">
        <v>18</v>
      </c>
      <c r="I96" s="18">
        <v>45645</v>
      </c>
      <c r="J96" s="20">
        <v>1</v>
      </c>
      <c r="K96" s="37" t="s">
        <v>88</v>
      </c>
      <c r="L96" s="37" t="s">
        <v>90</v>
      </c>
      <c r="M96" s="37" t="s">
        <v>160</v>
      </c>
      <c r="N96" s="7" t="str">
        <f>IF(Tabela1[[#This Row],[DATA INSPECAO]]="","",IF(AND($F96="Substituido",J96&gt;0,),"ALTA PRIORIDADE","NORMAL"))</f>
        <v>NORMAL</v>
      </c>
    </row>
    <row r="97" spans="1:14" ht="72" x14ac:dyDescent="0.3">
      <c r="A97" s="18">
        <v>45733</v>
      </c>
      <c r="B97" s="7" t="s">
        <v>86</v>
      </c>
      <c r="C97" s="7" t="s">
        <v>16</v>
      </c>
      <c r="D97" s="7" t="s">
        <v>189</v>
      </c>
      <c r="E97" s="7">
        <v>0</v>
      </c>
      <c r="F97" s="7" t="s">
        <v>87</v>
      </c>
      <c r="G97" s="7" t="s">
        <v>72</v>
      </c>
      <c r="H97" s="7" t="s">
        <v>18</v>
      </c>
      <c r="I97" s="18" t="s">
        <v>86</v>
      </c>
      <c r="J97" s="20">
        <v>0</v>
      </c>
      <c r="K97" s="37" t="s">
        <v>88</v>
      </c>
      <c r="L97" s="37" t="s">
        <v>88</v>
      </c>
      <c r="M97" s="37" t="s">
        <v>161</v>
      </c>
      <c r="N97" s="7" t="str">
        <f>IF(Tabela1[[#This Row],[DATA INSPECAO]]="","",IF(AND($F97="Substituido",J97&gt;0,),"ALTA PRIORIDADE","NORMAL"))</f>
        <v>NORMAL</v>
      </c>
    </row>
    <row r="98" spans="1:14" ht="57.6" x14ac:dyDescent="0.3">
      <c r="A98" s="18">
        <v>45734</v>
      </c>
      <c r="B98" s="7" t="s">
        <v>86</v>
      </c>
      <c r="C98" s="7" t="s">
        <v>16</v>
      </c>
      <c r="D98" s="7" t="s">
        <v>181</v>
      </c>
      <c r="E98" s="7">
        <v>0</v>
      </c>
      <c r="F98" s="7" t="s">
        <v>87</v>
      </c>
      <c r="G98" s="7" t="s">
        <v>72</v>
      </c>
      <c r="H98" s="7" t="s">
        <v>18</v>
      </c>
      <c r="I98" s="18" t="s">
        <v>86</v>
      </c>
      <c r="J98" s="20">
        <v>0</v>
      </c>
      <c r="K98" s="37" t="s">
        <v>88</v>
      </c>
      <c r="L98" s="37" t="s">
        <v>88</v>
      </c>
      <c r="M98" s="37" t="s">
        <v>159</v>
      </c>
      <c r="N98" s="7" t="str">
        <f>IF(Tabela1[[#This Row],[DATA INSPECAO]]="","",IF(AND($F98="Substituido",J98&gt;0,),"ALTA PRIORIDADE","NORMAL"))</f>
        <v>NORMAL</v>
      </c>
    </row>
    <row r="99" spans="1:14" ht="57.6" x14ac:dyDescent="0.3">
      <c r="A99" s="18">
        <v>45735</v>
      </c>
      <c r="B99" s="7" t="s">
        <v>86</v>
      </c>
      <c r="C99" s="7" t="s">
        <v>81</v>
      </c>
      <c r="D99" s="7" t="s">
        <v>213</v>
      </c>
      <c r="E99" s="7">
        <v>0</v>
      </c>
      <c r="F99" s="7" t="s">
        <v>87</v>
      </c>
      <c r="G99" s="7" t="s">
        <v>72</v>
      </c>
      <c r="H99" s="7" t="s">
        <v>18</v>
      </c>
      <c r="I99" s="18" t="s">
        <v>86</v>
      </c>
      <c r="J99" s="20">
        <v>0</v>
      </c>
      <c r="K99" s="37" t="s">
        <v>88</v>
      </c>
      <c r="L99" s="37" t="s">
        <v>88</v>
      </c>
      <c r="M99" s="37" t="s">
        <v>122</v>
      </c>
      <c r="N99" s="7" t="str">
        <f>IF(Tabela1[[#This Row],[DATA INSPECAO]]="","",IF(AND($F99="Substituido",J99&gt;0,),"ALTA PRIORIDADE","NORMAL"))</f>
        <v>NORMAL</v>
      </c>
    </row>
    <row r="100" spans="1:14" ht="43.2" x14ac:dyDescent="0.3">
      <c r="A100" s="57">
        <v>45736</v>
      </c>
      <c r="B100" s="44" t="s">
        <v>86</v>
      </c>
      <c r="C100" s="44" t="s">
        <v>81</v>
      </c>
      <c r="D100" s="91" t="s">
        <v>211</v>
      </c>
      <c r="E100" s="44">
        <v>20</v>
      </c>
      <c r="F100" s="44" t="s">
        <v>15</v>
      </c>
      <c r="G100" s="44" t="s">
        <v>72</v>
      </c>
      <c r="H100" s="44" t="s">
        <v>74</v>
      </c>
      <c r="I100" s="57">
        <v>45737</v>
      </c>
      <c r="J100" s="58">
        <v>1</v>
      </c>
      <c r="K100" s="59" t="s">
        <v>88</v>
      </c>
      <c r="L100" s="59" t="s">
        <v>90</v>
      </c>
      <c r="M100" s="59" t="s">
        <v>162</v>
      </c>
      <c r="N100" s="44" t="str">
        <f>IF(Tabela1[[#This Row],[DATA INSPECAO]]="","",IF(AND($F100="Substituido",J100&gt;0,),"ALTA PRIORIDADE","NORMAL"))</f>
        <v>NORMAL</v>
      </c>
    </row>
    <row r="101" spans="1:14" ht="72" x14ac:dyDescent="0.3">
      <c r="A101" s="57">
        <v>45737</v>
      </c>
      <c r="B101" s="44" t="s">
        <v>86</v>
      </c>
      <c r="C101" s="44" t="s">
        <v>81</v>
      </c>
      <c r="D101" s="44" t="s">
        <v>208</v>
      </c>
      <c r="E101" s="44">
        <v>0</v>
      </c>
      <c r="F101" s="44" t="s">
        <v>87</v>
      </c>
      <c r="G101" s="44" t="s">
        <v>72</v>
      </c>
      <c r="H101" s="44" t="s">
        <v>18</v>
      </c>
      <c r="I101" s="57" t="s">
        <v>86</v>
      </c>
      <c r="J101" s="58">
        <v>0</v>
      </c>
      <c r="K101" s="59" t="s">
        <v>88</v>
      </c>
      <c r="L101" s="59" t="s">
        <v>88</v>
      </c>
      <c r="M101" s="59" t="s">
        <v>141</v>
      </c>
      <c r="N101" s="44" t="str">
        <f>IF(Tabela1[[#This Row],[DATA INSPECAO]]="","",IF(AND($F101="Substituido",J101&gt;0,),"ALTA PRIORIDADE","NORMAL"))</f>
        <v>NORMAL</v>
      </c>
    </row>
    <row r="102" spans="1:14" ht="57.6" x14ac:dyDescent="0.3">
      <c r="A102" s="18">
        <v>45740</v>
      </c>
      <c r="B102" s="7" t="s">
        <v>86</v>
      </c>
      <c r="C102" s="7" t="s">
        <v>81</v>
      </c>
      <c r="D102" s="7" t="s">
        <v>212</v>
      </c>
      <c r="E102" s="7">
        <v>0</v>
      </c>
      <c r="F102" s="7" t="s">
        <v>87</v>
      </c>
      <c r="G102" s="7" t="s">
        <v>72</v>
      </c>
      <c r="H102" s="7" t="s">
        <v>18</v>
      </c>
      <c r="I102" s="18" t="s">
        <v>86</v>
      </c>
      <c r="J102" s="20">
        <v>0</v>
      </c>
      <c r="K102" s="37" t="s">
        <v>89</v>
      </c>
      <c r="L102" s="37" t="s">
        <v>88</v>
      </c>
      <c r="M102" s="37" t="s">
        <v>163</v>
      </c>
      <c r="N102" s="7" t="str">
        <f>IF(Tabela1[[#This Row],[DATA INSPECAO]]="","",IF(AND($F102="Substituido",J102&gt;0,),"ALTA PRIORIDADE","NORMAL"))</f>
        <v>NORMAL</v>
      </c>
    </row>
    <row r="103" spans="1:14" ht="57.6" x14ac:dyDescent="0.3">
      <c r="A103" s="18">
        <v>45741</v>
      </c>
      <c r="B103" s="7" t="s">
        <v>86</v>
      </c>
      <c r="C103" s="7" t="s">
        <v>73</v>
      </c>
      <c r="D103" s="7" t="s">
        <v>194</v>
      </c>
      <c r="E103" s="7">
        <v>0</v>
      </c>
      <c r="F103" s="7" t="s">
        <v>87</v>
      </c>
      <c r="G103" s="7" t="s">
        <v>72</v>
      </c>
      <c r="H103" s="7" t="s">
        <v>18</v>
      </c>
      <c r="I103" s="18" t="s">
        <v>86</v>
      </c>
      <c r="J103" s="20">
        <v>0</v>
      </c>
      <c r="K103" s="37" t="s">
        <v>88</v>
      </c>
      <c r="L103" s="37" t="s">
        <v>88</v>
      </c>
      <c r="M103" s="37" t="s">
        <v>122</v>
      </c>
      <c r="N103" s="7" t="str">
        <f>IF(Tabela1[[#This Row],[DATA INSPECAO]]="","",IF(AND($F103="Substituido",J103&gt;0,),"ALTA PRIORIDADE","NORMAL"))</f>
        <v>NORMAL</v>
      </c>
    </row>
    <row r="104" spans="1:14" x14ac:dyDescent="0.3">
      <c r="A104" s="18">
        <v>45742</v>
      </c>
      <c r="B104" s="7" t="s">
        <v>86</v>
      </c>
      <c r="C104" s="7" t="s">
        <v>73</v>
      </c>
      <c r="D104" s="7" t="s">
        <v>199</v>
      </c>
      <c r="E104" s="7">
        <v>0</v>
      </c>
      <c r="F104" s="7" t="s">
        <v>87</v>
      </c>
      <c r="G104" s="7" t="s">
        <v>72</v>
      </c>
      <c r="H104" s="7" t="s">
        <v>18</v>
      </c>
      <c r="I104" s="18" t="s">
        <v>86</v>
      </c>
      <c r="J104" s="20">
        <v>0</v>
      </c>
      <c r="K104" s="37" t="s">
        <v>88</v>
      </c>
      <c r="L104" s="37" t="s">
        <v>88</v>
      </c>
      <c r="M104" s="37" t="s">
        <v>135</v>
      </c>
      <c r="N104" s="7" t="str">
        <f>IF(Tabela1[[#This Row],[DATA INSPECAO]]="","",IF(AND($F104="Substituido",J104&gt;0,),"ALTA PRIORIDADE","NORMAL"))</f>
        <v>NORMAL</v>
      </c>
    </row>
    <row r="105" spans="1:14" ht="28.8" x14ac:dyDescent="0.3">
      <c r="A105" s="18">
        <v>45748</v>
      </c>
      <c r="B105" s="7" t="s">
        <v>86</v>
      </c>
      <c r="C105" s="7" t="s">
        <v>73</v>
      </c>
      <c r="D105" s="7" t="s">
        <v>203</v>
      </c>
      <c r="E105" s="7">
        <v>0</v>
      </c>
      <c r="F105" s="7" t="s">
        <v>87</v>
      </c>
      <c r="G105" s="7" t="s">
        <v>72</v>
      </c>
      <c r="H105" s="7" t="s">
        <v>18</v>
      </c>
      <c r="I105" s="18" t="s">
        <v>86</v>
      </c>
      <c r="J105" s="20">
        <v>0</v>
      </c>
      <c r="K105" s="37" t="s">
        <v>88</v>
      </c>
      <c r="L105" s="37" t="s">
        <v>88</v>
      </c>
      <c r="M105" s="37" t="s">
        <v>150</v>
      </c>
      <c r="N105" s="7" t="str">
        <f>IF(Tabela1[[#This Row],[DATA INSPECAO]]="","",IF(AND($F105="Substituido",J105&gt;0,),"ALTA PRIORIDADE","NORMAL"))</f>
        <v>NORMAL</v>
      </c>
    </row>
    <row r="106" spans="1:14" ht="57.6" x14ac:dyDescent="0.3">
      <c r="A106" s="18">
        <v>45749</v>
      </c>
      <c r="B106" s="7" t="s">
        <v>86</v>
      </c>
      <c r="C106" s="7" t="s">
        <v>73</v>
      </c>
      <c r="D106" s="87" t="s">
        <v>191</v>
      </c>
      <c r="E106" s="7">
        <v>20</v>
      </c>
      <c r="F106" s="7" t="s">
        <v>15</v>
      </c>
      <c r="G106" s="7" t="s">
        <v>72</v>
      </c>
      <c r="H106" s="7" t="s">
        <v>74</v>
      </c>
      <c r="I106" s="18">
        <v>45750</v>
      </c>
      <c r="J106" s="20">
        <v>1</v>
      </c>
      <c r="K106" s="37" t="s">
        <v>88</v>
      </c>
      <c r="L106" s="37" t="s">
        <v>90</v>
      </c>
      <c r="M106" s="37" t="s">
        <v>75</v>
      </c>
      <c r="N106" s="7" t="str">
        <f>IF(Tabela1[[#This Row],[DATA INSPECAO]]="","",IF(AND($F106="Substituido",J106&gt;0,),"ALTA PRIORIDADE","NORMAL"))</f>
        <v>NORMAL</v>
      </c>
    </row>
    <row r="107" spans="1:14" ht="72" x14ac:dyDescent="0.3">
      <c r="A107" s="18">
        <v>45751</v>
      </c>
      <c r="B107" s="7" t="s">
        <v>86</v>
      </c>
      <c r="C107" s="7" t="s">
        <v>16</v>
      </c>
      <c r="D107" s="7" t="s">
        <v>185</v>
      </c>
      <c r="E107" s="7">
        <v>0</v>
      </c>
      <c r="F107" s="7" t="s">
        <v>87</v>
      </c>
      <c r="G107" s="7" t="s">
        <v>72</v>
      </c>
      <c r="H107" s="7" t="s">
        <v>18</v>
      </c>
      <c r="I107" s="18" t="s">
        <v>86</v>
      </c>
      <c r="J107" s="20">
        <v>0</v>
      </c>
      <c r="K107" s="37" t="s">
        <v>88</v>
      </c>
      <c r="L107" s="37" t="s">
        <v>88</v>
      </c>
      <c r="M107" s="37" t="s">
        <v>102</v>
      </c>
      <c r="N107" s="7" t="str">
        <f>IF(Tabela1[[#This Row],[DATA INSPECAO]]="","",IF(AND($F107="Substituido",J107&gt;0,),"ALTA PRIORIDADE","NORMAL"))</f>
        <v>NORMAL</v>
      </c>
    </row>
    <row r="108" spans="1:14" ht="57.6" x14ac:dyDescent="0.3">
      <c r="A108" s="18">
        <v>45754</v>
      </c>
      <c r="B108" s="7" t="s">
        <v>86</v>
      </c>
      <c r="C108" s="7" t="s">
        <v>16</v>
      </c>
      <c r="D108" s="7" t="s">
        <v>187</v>
      </c>
      <c r="E108" s="7">
        <v>0</v>
      </c>
      <c r="F108" s="7" t="s">
        <v>87</v>
      </c>
      <c r="G108" s="7" t="s">
        <v>72</v>
      </c>
      <c r="H108" s="7" t="s">
        <v>18</v>
      </c>
      <c r="I108" s="18" t="s">
        <v>86</v>
      </c>
      <c r="J108" s="20">
        <v>0</v>
      </c>
      <c r="K108" s="37" t="s">
        <v>88</v>
      </c>
      <c r="L108" s="37" t="s">
        <v>88</v>
      </c>
      <c r="M108" s="37" t="s">
        <v>157</v>
      </c>
      <c r="N108" s="7" t="str">
        <f>IF(Tabela1[[#This Row],[DATA INSPECAO]]="","",IF(AND($F108="Substituido",J108&gt;0,),"ALTA PRIORIDADE","NORMAL"))</f>
        <v>NORMAL</v>
      </c>
    </row>
    <row r="109" spans="1:14" ht="72" x14ac:dyDescent="0.3">
      <c r="A109" s="18">
        <v>45755</v>
      </c>
      <c r="B109" s="7" t="s">
        <v>86</v>
      </c>
      <c r="C109" s="7" t="s">
        <v>16</v>
      </c>
      <c r="D109" s="7" t="s">
        <v>188</v>
      </c>
      <c r="E109" s="7">
        <v>0</v>
      </c>
      <c r="F109" s="7" t="s">
        <v>87</v>
      </c>
      <c r="G109" s="7" t="s">
        <v>72</v>
      </c>
      <c r="H109" s="7" t="s">
        <v>18</v>
      </c>
      <c r="I109" s="18" t="s">
        <v>86</v>
      </c>
      <c r="J109" s="20">
        <v>0</v>
      </c>
      <c r="K109" s="37" t="s">
        <v>88</v>
      </c>
      <c r="L109" s="37" t="s">
        <v>88</v>
      </c>
      <c r="M109" s="37" t="s">
        <v>164</v>
      </c>
      <c r="N109" s="7" t="str">
        <f>IF(Tabela1[[#This Row],[DATA INSPECAO]]="","",IF(AND($F109="Substituido",J109&gt;0,),"ALTA PRIORIDADE","NORMAL"))</f>
        <v>NORMAL</v>
      </c>
    </row>
    <row r="110" spans="1:14" ht="86.4" x14ac:dyDescent="0.3">
      <c r="A110" s="18">
        <v>45756</v>
      </c>
      <c r="B110" s="7" t="s">
        <v>86</v>
      </c>
      <c r="C110" s="7" t="s">
        <v>16</v>
      </c>
      <c r="D110" s="7" t="s">
        <v>190</v>
      </c>
      <c r="E110" s="7">
        <v>0</v>
      </c>
      <c r="F110" s="7" t="s">
        <v>87</v>
      </c>
      <c r="G110" s="7" t="s">
        <v>72</v>
      </c>
      <c r="H110" s="7" t="s">
        <v>18</v>
      </c>
      <c r="I110" s="18" t="s">
        <v>86</v>
      </c>
      <c r="J110" s="20">
        <v>0</v>
      </c>
      <c r="K110" s="37" t="s">
        <v>88</v>
      </c>
      <c r="L110" s="37" t="s">
        <v>88</v>
      </c>
      <c r="M110" s="37" t="s">
        <v>142</v>
      </c>
      <c r="N110" s="7" t="str">
        <f>IF(Tabela1[[#This Row],[DATA INSPECAO]]="","",IF(AND($F110="Substituido",J110&gt;0,),"ALTA PRIORIDADE","NORMAL"))</f>
        <v>NORMAL</v>
      </c>
    </row>
    <row r="111" spans="1:14" ht="57.6" x14ac:dyDescent="0.3">
      <c r="A111" s="18">
        <v>45757</v>
      </c>
      <c r="B111" s="7" t="s">
        <v>86</v>
      </c>
      <c r="C111" s="7" t="s">
        <v>16</v>
      </c>
      <c r="D111" s="7" t="s">
        <v>182</v>
      </c>
      <c r="E111" s="7">
        <v>0</v>
      </c>
      <c r="F111" s="7" t="s">
        <v>87</v>
      </c>
      <c r="G111" s="7" t="s">
        <v>72</v>
      </c>
      <c r="H111" s="7" t="s">
        <v>18</v>
      </c>
      <c r="I111" s="18" t="s">
        <v>86</v>
      </c>
      <c r="J111" s="20">
        <v>0</v>
      </c>
      <c r="K111" s="37" t="s">
        <v>88</v>
      </c>
      <c r="L111" s="37" t="s">
        <v>88</v>
      </c>
      <c r="M111" s="37" t="s">
        <v>105</v>
      </c>
      <c r="N111" s="7" t="str">
        <f>IF(Tabela1[[#This Row],[DATA INSPECAO]]="","",IF(AND($F111="Substituido",J111&gt;0,),"ALTA PRIORIDADE","NORMAL"))</f>
        <v>NORMAL</v>
      </c>
    </row>
    <row r="112" spans="1:14" ht="43.2" x14ac:dyDescent="0.3">
      <c r="A112" s="18">
        <v>45758</v>
      </c>
      <c r="B112" s="7" t="s">
        <v>86</v>
      </c>
      <c r="C112" s="7" t="s">
        <v>16</v>
      </c>
      <c r="D112" s="87" t="s">
        <v>183</v>
      </c>
      <c r="E112" s="7">
        <v>180</v>
      </c>
      <c r="F112" s="7" t="s">
        <v>15</v>
      </c>
      <c r="G112" s="7" t="s">
        <v>72</v>
      </c>
      <c r="H112" s="7" t="s">
        <v>74</v>
      </c>
      <c r="I112" s="18">
        <v>45764</v>
      </c>
      <c r="J112" s="20">
        <v>6</v>
      </c>
      <c r="K112" s="37" t="s">
        <v>88</v>
      </c>
      <c r="L112" s="37" t="s">
        <v>90</v>
      </c>
      <c r="M112" s="37" t="s">
        <v>165</v>
      </c>
      <c r="N112" s="7" t="str">
        <f>IF(Tabela1[[#This Row],[DATA INSPECAO]]="","",IF(AND($F112="Substituido",J112&gt;0,),"ALTA PRIORIDADE","NORMAL"))</f>
        <v>NORMAL</v>
      </c>
    </row>
    <row r="113" spans="1:14" ht="72" x14ac:dyDescent="0.3">
      <c r="A113" s="18">
        <v>45769</v>
      </c>
      <c r="B113" s="7" t="s">
        <v>86</v>
      </c>
      <c r="C113" s="7" t="s">
        <v>16</v>
      </c>
      <c r="D113" s="7" t="s">
        <v>186</v>
      </c>
      <c r="E113" s="7">
        <v>0</v>
      </c>
      <c r="F113" s="7" t="s">
        <v>87</v>
      </c>
      <c r="G113" s="7" t="s">
        <v>72</v>
      </c>
      <c r="H113" s="7" t="s">
        <v>18</v>
      </c>
      <c r="I113" s="18" t="s">
        <v>86</v>
      </c>
      <c r="J113" s="20">
        <v>0</v>
      </c>
      <c r="K113" s="37" t="s">
        <v>88</v>
      </c>
      <c r="L113" s="37" t="s">
        <v>88</v>
      </c>
      <c r="M113" s="37" t="s">
        <v>106</v>
      </c>
      <c r="N113" s="7" t="str">
        <f>IF(Tabela1[[#This Row],[DATA INSPECAO]]="","",IF(AND($F113="Substituido",J113&gt;0,),"ALTA PRIORIDADE","NORMAL"))</f>
        <v>NORMAL</v>
      </c>
    </row>
    <row r="114" spans="1:14" ht="57.6" x14ac:dyDescent="0.3">
      <c r="A114" s="18">
        <v>45770</v>
      </c>
      <c r="B114" s="7" t="s">
        <v>86</v>
      </c>
      <c r="C114" s="7" t="s">
        <v>16</v>
      </c>
      <c r="D114" s="87" t="s">
        <v>184</v>
      </c>
      <c r="E114" s="7">
        <v>120</v>
      </c>
      <c r="F114" s="7" t="s">
        <v>15</v>
      </c>
      <c r="G114" s="7" t="s">
        <v>72</v>
      </c>
      <c r="H114" s="7" t="s">
        <v>74</v>
      </c>
      <c r="I114" s="18">
        <v>45772</v>
      </c>
      <c r="J114" s="20">
        <v>2</v>
      </c>
      <c r="K114" s="37" t="s">
        <v>90</v>
      </c>
      <c r="L114" s="37" t="s">
        <v>90</v>
      </c>
      <c r="M114" s="37" t="s">
        <v>166</v>
      </c>
      <c r="N114" s="7" t="str">
        <f>IF(Tabela1[[#This Row],[DATA INSPECAO]]="","",IF(AND($F114="Substituido",J114&gt;0,),"ALTA PRIORIDADE","NORMAL"))</f>
        <v>NORMAL</v>
      </c>
    </row>
    <row r="115" spans="1:14" ht="57.6" x14ac:dyDescent="0.3">
      <c r="A115" s="57">
        <v>45775</v>
      </c>
      <c r="B115" s="44" t="s">
        <v>86</v>
      </c>
      <c r="C115" s="44" t="s">
        <v>16</v>
      </c>
      <c r="D115" s="44" t="s">
        <v>180</v>
      </c>
      <c r="E115" s="44">
        <v>0</v>
      </c>
      <c r="F115" s="44" t="s">
        <v>87</v>
      </c>
      <c r="G115" s="44" t="s">
        <v>72</v>
      </c>
      <c r="H115" s="44" t="s">
        <v>18</v>
      </c>
      <c r="I115" s="57" t="s">
        <v>86</v>
      </c>
      <c r="J115" s="58">
        <v>0</v>
      </c>
      <c r="K115" s="59" t="s">
        <v>88</v>
      </c>
      <c r="L115" s="59" t="s">
        <v>88</v>
      </c>
      <c r="M115" s="59" t="s">
        <v>140</v>
      </c>
      <c r="N115" s="44" t="str">
        <f>IF(Tabela1[[#This Row],[DATA INSPECAO]]="","",IF(AND($F115="Substituido",J115&gt;0,),"ALTA PRIORIDADE","NORMAL"))</f>
        <v>NORMAL</v>
      </c>
    </row>
    <row r="116" spans="1:14" ht="57.6" x14ac:dyDescent="0.3">
      <c r="A116" s="18">
        <v>45776</v>
      </c>
      <c r="B116" s="7" t="s">
        <v>86</v>
      </c>
      <c r="C116" s="7" t="s">
        <v>82</v>
      </c>
      <c r="D116" s="7" t="s">
        <v>224</v>
      </c>
      <c r="E116" s="7">
        <v>0</v>
      </c>
      <c r="F116" s="7" t="s">
        <v>87</v>
      </c>
      <c r="G116" s="7" t="s">
        <v>72</v>
      </c>
      <c r="H116" s="7" t="s">
        <v>18</v>
      </c>
      <c r="I116" s="18" t="s">
        <v>86</v>
      </c>
      <c r="J116" s="20">
        <v>0</v>
      </c>
      <c r="K116" s="37" t="s">
        <v>88</v>
      </c>
      <c r="L116" s="37" t="s">
        <v>88</v>
      </c>
      <c r="M116" s="37" t="s">
        <v>110</v>
      </c>
      <c r="N116" s="7" t="str">
        <f>IF(Tabela1[[#This Row],[DATA INSPECAO]]="","",IF(AND($F116="Substituido",J116&gt;0,),"ALTA PRIORIDADE","NORMAL"))</f>
        <v>NORMAL</v>
      </c>
    </row>
    <row r="117" spans="1:14" ht="57.6" x14ac:dyDescent="0.3">
      <c r="A117" s="18">
        <v>45777</v>
      </c>
      <c r="B117" s="7" t="s">
        <v>86</v>
      </c>
      <c r="C117" s="7" t="s">
        <v>82</v>
      </c>
      <c r="D117" s="7" t="s">
        <v>222</v>
      </c>
      <c r="E117" s="7">
        <v>0</v>
      </c>
      <c r="F117" s="7" t="s">
        <v>87</v>
      </c>
      <c r="G117" s="7" t="s">
        <v>72</v>
      </c>
      <c r="H117" s="7" t="s">
        <v>18</v>
      </c>
      <c r="I117" s="18" t="s">
        <v>86</v>
      </c>
      <c r="J117" s="20">
        <v>0</v>
      </c>
      <c r="K117" s="37" t="s">
        <v>88</v>
      </c>
      <c r="L117" s="37" t="s">
        <v>88</v>
      </c>
      <c r="M117" s="37" t="s">
        <v>134</v>
      </c>
      <c r="N117" s="7" t="str">
        <f>IF(Tabela1[[#This Row],[DATA INSPECAO]]="","",IF(AND($F117="Substituido",J117&gt;0,),"ALTA PRIORIDADE","NORMAL"))</f>
        <v>NORMAL</v>
      </c>
    </row>
    <row r="118" spans="1:14" ht="28.8" x14ac:dyDescent="0.3">
      <c r="A118" s="18">
        <v>45779</v>
      </c>
      <c r="B118" s="7" t="s">
        <v>86</v>
      </c>
      <c r="C118" s="7" t="s">
        <v>82</v>
      </c>
      <c r="D118" s="7" t="s">
        <v>223</v>
      </c>
      <c r="E118" s="7">
        <v>0</v>
      </c>
      <c r="F118" s="7" t="s">
        <v>87</v>
      </c>
      <c r="G118" s="7" t="s">
        <v>72</v>
      </c>
      <c r="H118" s="7" t="s">
        <v>18</v>
      </c>
      <c r="I118" s="18" t="s">
        <v>86</v>
      </c>
      <c r="J118" s="20">
        <v>0</v>
      </c>
      <c r="K118" s="37" t="s">
        <v>88</v>
      </c>
      <c r="L118" s="37" t="s">
        <v>88</v>
      </c>
      <c r="M118" s="37" t="s">
        <v>112</v>
      </c>
      <c r="N118" s="7" t="str">
        <f>IF(Tabela1[[#This Row],[DATA INSPECAO]]="","",IF(AND($F118="Substituido",J118&gt;0,),"ALTA PRIORIDADE","NORMAL"))</f>
        <v>NORMAL</v>
      </c>
    </row>
    <row r="119" spans="1:14" ht="57.6" x14ac:dyDescent="0.3">
      <c r="A119" s="18">
        <v>45782</v>
      </c>
      <c r="B119" s="7" t="s">
        <v>86</v>
      </c>
      <c r="C119" s="7" t="s">
        <v>82</v>
      </c>
      <c r="D119" s="7" t="s">
        <v>225</v>
      </c>
      <c r="E119" s="7">
        <v>0</v>
      </c>
      <c r="F119" s="7" t="s">
        <v>87</v>
      </c>
      <c r="G119" s="7" t="s">
        <v>72</v>
      </c>
      <c r="H119" s="7" t="s">
        <v>18</v>
      </c>
      <c r="I119" s="18" t="s">
        <v>86</v>
      </c>
      <c r="J119" s="20">
        <v>0</v>
      </c>
      <c r="K119" s="37" t="s">
        <v>88</v>
      </c>
      <c r="L119" s="37" t="s">
        <v>88</v>
      </c>
      <c r="M119" s="37" t="s">
        <v>146</v>
      </c>
      <c r="N119" s="7" t="str">
        <f>IF(Tabela1[[#This Row],[DATA INSPECAO]]="","",IF(AND($F119="Substituido",J119&gt;0,),"ALTA PRIORIDADE","NORMAL"))</f>
        <v>NORMAL</v>
      </c>
    </row>
    <row r="120" spans="1:14" ht="28.8" x14ac:dyDescent="0.3">
      <c r="A120" s="18">
        <v>45783</v>
      </c>
      <c r="B120" s="7" t="s">
        <v>86</v>
      </c>
      <c r="C120" s="7" t="s">
        <v>82</v>
      </c>
      <c r="D120" s="7" t="s">
        <v>226</v>
      </c>
      <c r="E120" s="7">
        <v>0</v>
      </c>
      <c r="F120" s="7" t="s">
        <v>87</v>
      </c>
      <c r="G120" s="7" t="s">
        <v>72</v>
      </c>
      <c r="H120" s="7" t="s">
        <v>18</v>
      </c>
      <c r="I120" s="18" t="s">
        <v>86</v>
      </c>
      <c r="J120" s="20">
        <v>0</v>
      </c>
      <c r="K120" s="37" t="s">
        <v>88</v>
      </c>
      <c r="L120" s="37" t="s">
        <v>88</v>
      </c>
      <c r="M120" s="37" t="s">
        <v>112</v>
      </c>
      <c r="N120" s="7" t="str">
        <f>IF(Tabela1[[#This Row],[DATA INSPECAO]]="","",IF(AND($F120="Substituido",J120&gt;0,),"ALTA PRIORIDADE","NORMAL"))</f>
        <v>NORMAL</v>
      </c>
    </row>
    <row r="121" spans="1:14" ht="43.2" x14ac:dyDescent="0.3">
      <c r="A121" s="57">
        <v>45784</v>
      </c>
      <c r="B121" s="44" t="s">
        <v>86</v>
      </c>
      <c r="C121" s="44" t="s">
        <v>82</v>
      </c>
      <c r="D121" s="44" t="s">
        <v>216</v>
      </c>
      <c r="E121" s="44">
        <v>0</v>
      </c>
      <c r="F121" s="44" t="s">
        <v>87</v>
      </c>
      <c r="G121" s="44" t="s">
        <v>72</v>
      </c>
      <c r="H121" s="44" t="s">
        <v>18</v>
      </c>
      <c r="I121" s="57" t="s">
        <v>86</v>
      </c>
      <c r="J121" s="58">
        <v>0</v>
      </c>
      <c r="K121" s="59" t="s">
        <v>89</v>
      </c>
      <c r="L121" s="59" t="s">
        <v>88</v>
      </c>
      <c r="M121" s="59" t="s">
        <v>125</v>
      </c>
      <c r="N121" s="44" t="str">
        <f>IF(Tabela1[[#This Row],[DATA INSPECAO]]="","",IF(AND($F121="Substituido",J121&gt;0,),"ALTA PRIORIDADE","NORMAL"))</f>
        <v>NORMAL</v>
      </c>
    </row>
    <row r="122" spans="1:14" ht="28.8" x14ac:dyDescent="0.3">
      <c r="A122" s="57">
        <v>45786</v>
      </c>
      <c r="B122" s="44" t="s">
        <v>86</v>
      </c>
      <c r="C122" s="44" t="s">
        <v>82</v>
      </c>
      <c r="D122" s="44" t="s">
        <v>217</v>
      </c>
      <c r="E122" s="44">
        <v>0</v>
      </c>
      <c r="F122" s="44" t="s">
        <v>87</v>
      </c>
      <c r="G122" s="44" t="s">
        <v>72</v>
      </c>
      <c r="H122" s="44" t="s">
        <v>18</v>
      </c>
      <c r="I122" s="57" t="s">
        <v>86</v>
      </c>
      <c r="J122" s="58">
        <v>0</v>
      </c>
      <c r="K122" s="59" t="s">
        <v>88</v>
      </c>
      <c r="L122" s="59" t="s">
        <v>88</v>
      </c>
      <c r="M122" s="59" t="s">
        <v>167</v>
      </c>
      <c r="N122" s="44" t="str">
        <f>IF(Tabela1[[#This Row],[DATA INSPECAO]]="","",IF(AND($F122="Substituido",J122&gt;0,),"ALTA PRIORIDADE","NORMAL"))</f>
        <v>NORMAL</v>
      </c>
    </row>
    <row r="123" spans="1:14" ht="57.6" x14ac:dyDescent="0.3">
      <c r="A123" s="18">
        <v>45789</v>
      </c>
      <c r="B123" s="7" t="s">
        <v>86</v>
      </c>
      <c r="C123" s="7" t="s">
        <v>82</v>
      </c>
      <c r="D123" s="7" t="s">
        <v>219</v>
      </c>
      <c r="E123" s="7">
        <v>0</v>
      </c>
      <c r="F123" s="7" t="s">
        <v>87</v>
      </c>
      <c r="G123" s="7" t="s">
        <v>72</v>
      </c>
      <c r="H123" s="7" t="s">
        <v>18</v>
      </c>
      <c r="I123" s="18" t="s">
        <v>86</v>
      </c>
      <c r="J123" s="20">
        <v>0</v>
      </c>
      <c r="K123" s="37" t="s">
        <v>88</v>
      </c>
      <c r="L123" s="37" t="s">
        <v>88</v>
      </c>
      <c r="M123" s="37" t="s">
        <v>149</v>
      </c>
      <c r="N123" s="7" t="str">
        <f>IF(Tabela1[[#This Row],[DATA INSPECAO]]="","",IF(AND($F123="Substituido",J123&gt;0,),"ALTA PRIORIDADE","NORMAL"))</f>
        <v>NORMAL</v>
      </c>
    </row>
    <row r="124" spans="1:14" ht="57.6" x14ac:dyDescent="0.3">
      <c r="A124" s="18">
        <v>45790</v>
      </c>
      <c r="B124" s="7" t="s">
        <v>86</v>
      </c>
      <c r="C124" s="7" t="s">
        <v>82</v>
      </c>
      <c r="D124" s="7" t="s">
        <v>220</v>
      </c>
      <c r="E124" s="7">
        <v>0</v>
      </c>
      <c r="F124" s="7" t="s">
        <v>87</v>
      </c>
      <c r="G124" s="7" t="s">
        <v>72</v>
      </c>
      <c r="H124" s="7" t="s">
        <v>18</v>
      </c>
      <c r="I124" s="18" t="s">
        <v>86</v>
      </c>
      <c r="J124" s="20">
        <v>0</v>
      </c>
      <c r="K124" s="37" t="s">
        <v>88</v>
      </c>
      <c r="L124" s="37" t="s">
        <v>88</v>
      </c>
      <c r="M124" s="37" t="s">
        <v>19</v>
      </c>
      <c r="N124" s="7" t="str">
        <f>IF(Tabela1[[#This Row],[DATA INSPECAO]]="","",IF(AND($F124="Substituido",J124&gt;0,),"ALTA PRIORIDADE","NORMAL"))</f>
        <v>NORMAL</v>
      </c>
    </row>
    <row r="125" spans="1:14" ht="144" x14ac:dyDescent="0.3">
      <c r="A125" s="18">
        <v>45791</v>
      </c>
      <c r="B125" s="7" t="s">
        <v>86</v>
      </c>
      <c r="C125" s="7" t="s">
        <v>82</v>
      </c>
      <c r="D125" s="7" t="s">
        <v>221</v>
      </c>
      <c r="E125" s="7">
        <v>0</v>
      </c>
      <c r="F125" s="7" t="s">
        <v>87</v>
      </c>
      <c r="G125" s="7" t="s">
        <v>72</v>
      </c>
      <c r="H125" s="7" t="s">
        <v>18</v>
      </c>
      <c r="I125" s="18" t="s">
        <v>86</v>
      </c>
      <c r="J125" s="20">
        <v>0</v>
      </c>
      <c r="K125" s="37" t="s">
        <v>88</v>
      </c>
      <c r="L125" s="37" t="s">
        <v>88</v>
      </c>
      <c r="M125" s="37" t="s">
        <v>148</v>
      </c>
      <c r="N125" s="7" t="str">
        <f>IF(Tabela1[[#This Row],[DATA INSPECAO]]="","",IF(AND($F125="Substituido",J125&gt;0,),"ALTA PRIORIDADE","NORMAL"))</f>
        <v>NORMAL</v>
      </c>
    </row>
    <row r="126" spans="1:14" ht="57.6" x14ac:dyDescent="0.3">
      <c r="A126" s="18">
        <v>45792</v>
      </c>
      <c r="B126" s="7" t="s">
        <v>86</v>
      </c>
      <c r="C126" s="7" t="s">
        <v>73</v>
      </c>
      <c r="D126" s="7" t="s">
        <v>196</v>
      </c>
      <c r="E126" s="7">
        <v>0</v>
      </c>
      <c r="F126" s="7" t="s">
        <v>87</v>
      </c>
      <c r="G126" s="7" t="s">
        <v>72</v>
      </c>
      <c r="H126" s="7" t="s">
        <v>18</v>
      </c>
      <c r="I126" s="18" t="s">
        <v>86</v>
      </c>
      <c r="J126" s="20">
        <v>0</v>
      </c>
      <c r="K126" s="37" t="s">
        <v>88</v>
      </c>
      <c r="L126" s="37" t="s">
        <v>88</v>
      </c>
      <c r="M126" s="37" t="s">
        <v>122</v>
      </c>
      <c r="N126" s="7" t="str">
        <f>IF(Tabela1[[#This Row],[DATA INSPECAO]]="","",IF(AND($F126="Substituido",J126&gt;0,),"ALTA PRIORIDADE","NORMAL"))</f>
        <v>NORMAL</v>
      </c>
    </row>
    <row r="127" spans="1:14" ht="28.8" x14ac:dyDescent="0.3">
      <c r="A127" s="18">
        <v>45862</v>
      </c>
      <c r="B127" s="7"/>
      <c r="C127" s="7" t="s">
        <v>82</v>
      </c>
      <c r="D127" s="7" t="s">
        <v>217</v>
      </c>
      <c r="E127" s="7">
        <v>1</v>
      </c>
      <c r="F127" s="7" t="s">
        <v>15</v>
      </c>
      <c r="G127" s="7" t="s">
        <v>85</v>
      </c>
      <c r="H127" s="7" t="s">
        <v>74</v>
      </c>
      <c r="I127" s="18">
        <v>45878</v>
      </c>
      <c r="J127" s="20">
        <f>Tabela1[[#This Row],[DATA SUBSTITUICAO]]-Tabela1[[#This Row],[DATA INSPECAO]]</f>
        <v>16</v>
      </c>
      <c r="K127" s="37" t="s">
        <v>88</v>
      </c>
      <c r="L127" s="37" t="s">
        <v>88</v>
      </c>
      <c r="M127" s="37" t="s">
        <v>421</v>
      </c>
      <c r="N127" s="7" t="str">
        <f>IF(Tabela1[[#This Row],[DATA INSPECAO]]="","",IF(AND($F127="Substituido",J127&gt;0,),"ALTA PRIORIDADE","NORMAL"))</f>
        <v>NORMAL</v>
      </c>
    </row>
    <row r="128" spans="1:14" ht="28.8" x14ac:dyDescent="0.3">
      <c r="A128" s="18">
        <v>45912</v>
      </c>
      <c r="B128" s="7"/>
      <c r="C128" s="7" t="s">
        <v>73</v>
      </c>
      <c r="D128" s="7" t="s">
        <v>210</v>
      </c>
      <c r="E128" s="7">
        <v>2</v>
      </c>
      <c r="F128" s="7" t="s">
        <v>15</v>
      </c>
      <c r="G128" s="7" t="s">
        <v>85</v>
      </c>
      <c r="H128" s="7" t="s">
        <v>74</v>
      </c>
      <c r="I128" s="18">
        <v>45932</v>
      </c>
      <c r="J128" s="20">
        <f>Tabela1[[#This Row],[DATA SUBSTITUICAO]]-Tabela1[[#This Row],[DATA INSPECAO]]</f>
        <v>20</v>
      </c>
      <c r="K128" s="37" t="s">
        <v>88</v>
      </c>
      <c r="L128" s="37" t="s">
        <v>88</v>
      </c>
      <c r="M128" s="37" t="s">
        <v>422</v>
      </c>
      <c r="N128" s="7" t="str">
        <f>IF(Tabela1[[#This Row],[DATA INSPECAO]]="","",IF(AND($F128="Substituido",J128&gt;0,),"ALTA PRIORIDADE","NORMAL"))</f>
        <v>NORMAL</v>
      </c>
    </row>
    <row r="129" spans="1:14" ht="28.8" x14ac:dyDescent="0.3">
      <c r="A129" s="57">
        <v>45937</v>
      </c>
      <c r="B129" s="44"/>
      <c r="C129" s="44" t="s">
        <v>16</v>
      </c>
      <c r="D129" s="44" t="s">
        <v>185</v>
      </c>
      <c r="E129" s="44">
        <v>3</v>
      </c>
      <c r="F129" s="44" t="s">
        <v>15</v>
      </c>
      <c r="G129" s="44" t="s">
        <v>85</v>
      </c>
      <c r="H129" s="44" t="s">
        <v>74</v>
      </c>
      <c r="I129" s="92">
        <v>45955</v>
      </c>
      <c r="J129" s="58">
        <f>Tabela1[[#This Row],[DATA SUBSTITUICAO]]-Tabela1[[#This Row],[DATA INSPECAO]]</f>
        <v>18</v>
      </c>
      <c r="K129" s="59" t="s">
        <v>88</v>
      </c>
      <c r="L129" s="59" t="s">
        <v>88</v>
      </c>
      <c r="M129" s="59" t="s">
        <v>420</v>
      </c>
      <c r="N129" s="44" t="str">
        <f>IF(Tabela1[[#This Row],[DATA INSPECAO]]="","",IF(AND($F129="Substituido",J129&gt;0,),"ALTA PRIORIDADE","NORMAL"))</f>
        <v>NORMAL</v>
      </c>
    </row>
    <row r="130" spans="1:14" ht="43.2" x14ac:dyDescent="0.3">
      <c r="A130" s="18" t="s">
        <v>86</v>
      </c>
      <c r="B130" s="7" t="s">
        <v>86</v>
      </c>
      <c r="C130" s="7" t="s">
        <v>81</v>
      </c>
      <c r="D130" s="7" t="s">
        <v>205</v>
      </c>
      <c r="E130" s="7">
        <v>0</v>
      </c>
      <c r="F130" s="7" t="s">
        <v>87</v>
      </c>
      <c r="G130" s="7" t="s">
        <v>72</v>
      </c>
      <c r="H130" s="88" t="s">
        <v>18</v>
      </c>
      <c r="I130" s="18" t="s">
        <v>86</v>
      </c>
      <c r="J130" s="20">
        <v>0</v>
      </c>
      <c r="K130" s="37" t="s">
        <v>88</v>
      </c>
      <c r="L130" s="37" t="s">
        <v>88</v>
      </c>
      <c r="M130" s="37" t="s">
        <v>126</v>
      </c>
      <c r="N130" s="7" t="str">
        <f>IF(Tabela1[[#This Row],[DATA INSPECAO]]="","",IF(AND($F130="Substituido",J130&gt;0,),"ALTA PRIORIDADE","NORMAL"))</f>
        <v>NORMAL</v>
      </c>
    </row>
    <row r="131" spans="1:14" x14ac:dyDescent="0.3">
      <c r="A131" s="57" t="s">
        <v>86</v>
      </c>
      <c r="B131" s="44" t="s">
        <v>86</v>
      </c>
      <c r="C131" s="44" t="s">
        <v>81</v>
      </c>
      <c r="D131" s="44" t="s">
        <v>206</v>
      </c>
      <c r="E131" s="44">
        <v>0</v>
      </c>
      <c r="F131" s="44" t="s">
        <v>87</v>
      </c>
      <c r="G131" s="44" t="s">
        <v>72</v>
      </c>
      <c r="H131" s="44" t="s">
        <v>18</v>
      </c>
      <c r="I131" s="57" t="s">
        <v>86</v>
      </c>
      <c r="J131" s="58">
        <v>0</v>
      </c>
      <c r="K131" s="59" t="s">
        <v>88</v>
      </c>
      <c r="L131" s="59" t="s">
        <v>88</v>
      </c>
      <c r="M131" s="59" t="s">
        <v>84</v>
      </c>
      <c r="N131" s="44" t="str">
        <f>IF(Tabela1[[#This Row],[DATA INSPECAO]]="","",IF(AND($F131="Substituido",J131&gt;0,),"ALTA PRIORIDADE","NORMAL"))</f>
        <v>NORMAL</v>
      </c>
    </row>
    <row r="132" spans="1:14" ht="100.8" x14ac:dyDescent="0.3">
      <c r="A132" s="18" t="s">
        <v>86</v>
      </c>
      <c r="B132" s="7" t="s">
        <v>86</v>
      </c>
      <c r="C132" s="7" t="s">
        <v>73</v>
      </c>
      <c r="D132" s="7" t="s">
        <v>192</v>
      </c>
      <c r="E132" s="7">
        <v>0</v>
      </c>
      <c r="F132" s="7" t="s">
        <v>87</v>
      </c>
      <c r="G132" s="7" t="s">
        <v>72</v>
      </c>
      <c r="H132" s="7" t="s">
        <v>18</v>
      </c>
      <c r="I132" s="18" t="s">
        <v>86</v>
      </c>
      <c r="J132" s="20">
        <v>0</v>
      </c>
      <c r="K132" s="37" t="s">
        <v>88</v>
      </c>
      <c r="L132" s="37" t="s">
        <v>88</v>
      </c>
      <c r="M132" s="37" t="s">
        <v>143</v>
      </c>
      <c r="N132" s="7" t="str">
        <f>IF(Tabela1[[#This Row],[DATA INSPECAO]]="","",IF(AND($F132="Substituido",J132&gt;0,),"ALTA PRIORIDADE","NORMAL"))</f>
        <v>NORMAL</v>
      </c>
    </row>
    <row r="133" spans="1:14" ht="86.4" x14ac:dyDescent="0.3">
      <c r="A133" s="18" t="s">
        <v>86</v>
      </c>
      <c r="B133" s="7" t="s">
        <v>86</v>
      </c>
      <c r="C133" s="7" t="s">
        <v>73</v>
      </c>
      <c r="D133" s="7" t="s">
        <v>193</v>
      </c>
      <c r="E133" s="7">
        <v>0</v>
      </c>
      <c r="F133" s="7" t="s">
        <v>87</v>
      </c>
      <c r="G133" s="7" t="s">
        <v>72</v>
      </c>
      <c r="H133" s="7" t="s">
        <v>18</v>
      </c>
      <c r="I133" s="18" t="s">
        <v>86</v>
      </c>
      <c r="J133" s="20">
        <v>0</v>
      </c>
      <c r="K133" s="37" t="s">
        <v>88</v>
      </c>
      <c r="L133" s="37" t="s">
        <v>88</v>
      </c>
      <c r="M133" s="37" t="s">
        <v>144</v>
      </c>
      <c r="N133" s="7" t="str">
        <f>IF(Tabela1[[#This Row],[DATA INSPECAO]]="","",IF(AND($F133="Substituido",J133&gt;0,),"ALTA PRIORIDADE","NORMAL"))</f>
        <v>NORMAL</v>
      </c>
    </row>
    <row r="134" spans="1:14" ht="57.6" x14ac:dyDescent="0.3">
      <c r="A134" s="18" t="s">
        <v>86</v>
      </c>
      <c r="B134" s="7" t="s">
        <v>86</v>
      </c>
      <c r="C134" s="7" t="s">
        <v>82</v>
      </c>
      <c r="D134" s="7" t="s">
        <v>218</v>
      </c>
      <c r="E134" s="7">
        <v>0</v>
      </c>
      <c r="F134" s="7" t="s">
        <v>87</v>
      </c>
      <c r="G134" s="7" t="s">
        <v>72</v>
      </c>
      <c r="H134" s="7" t="s">
        <v>18</v>
      </c>
      <c r="I134" s="18" t="s">
        <v>86</v>
      </c>
      <c r="J134" s="20">
        <v>0</v>
      </c>
      <c r="K134" s="37" t="s">
        <v>88</v>
      </c>
      <c r="L134" s="37" t="s">
        <v>88</v>
      </c>
      <c r="M134" s="37" t="s">
        <v>145</v>
      </c>
      <c r="N134" s="7" t="str">
        <f>IF(Tabela1[[#This Row],[DATA INSPECAO]]="","",IF(AND($F134="Substituido",J134&gt;0,),"ALTA PRIORIDADE","NORMAL"))</f>
        <v>NORMAL</v>
      </c>
    </row>
    <row r="135" spans="1:14" ht="115.2" x14ac:dyDescent="0.3">
      <c r="A135" s="18" t="s">
        <v>86</v>
      </c>
      <c r="B135" s="7" t="s">
        <v>86</v>
      </c>
      <c r="C135" s="7" t="s">
        <v>73</v>
      </c>
      <c r="D135" s="7" t="s">
        <v>195</v>
      </c>
      <c r="E135" s="7">
        <v>0</v>
      </c>
      <c r="F135" s="7" t="s">
        <v>87</v>
      </c>
      <c r="G135" s="7" t="s">
        <v>72</v>
      </c>
      <c r="H135" s="7" t="s">
        <v>18</v>
      </c>
      <c r="I135" s="18" t="s">
        <v>86</v>
      </c>
      <c r="J135" s="20">
        <v>0</v>
      </c>
      <c r="K135" s="37" t="s">
        <v>88</v>
      </c>
      <c r="L135" s="37" t="s">
        <v>88</v>
      </c>
      <c r="M135" s="37" t="s">
        <v>136</v>
      </c>
      <c r="N135" s="7" t="str">
        <f>IF(Tabela1[[#This Row],[DATA INSPECAO]]="","",IF(AND($F135="Substituido",J135&gt;0,),"ALTA PRIORIDADE","NORMAL"))</f>
        <v>NORMAL</v>
      </c>
    </row>
    <row r="136" spans="1:14" ht="43.2" x14ac:dyDescent="0.3">
      <c r="A136" s="18" t="s">
        <v>86</v>
      </c>
      <c r="B136" s="7" t="s">
        <v>86</v>
      </c>
      <c r="C136" s="7" t="s">
        <v>73</v>
      </c>
      <c r="D136" s="7" t="s">
        <v>197</v>
      </c>
      <c r="E136" s="7">
        <v>0</v>
      </c>
      <c r="F136" s="7" t="s">
        <v>87</v>
      </c>
      <c r="G136" s="7" t="s">
        <v>72</v>
      </c>
      <c r="H136" s="7" t="s">
        <v>18</v>
      </c>
      <c r="I136" s="18" t="s">
        <v>86</v>
      </c>
      <c r="J136" s="20">
        <v>0</v>
      </c>
      <c r="K136" s="37" t="s">
        <v>89</v>
      </c>
      <c r="L136" s="37" t="s">
        <v>89</v>
      </c>
      <c r="M136" s="37" t="s">
        <v>168</v>
      </c>
      <c r="N136" s="7" t="str">
        <f>IF(Tabela1[[#This Row],[DATA INSPECAO]]="","",IF(AND($F136="Substituido",J136&gt;0,),"ALTA PRIORIDADE","NORMAL"))</f>
        <v>NORMAL</v>
      </c>
    </row>
    <row r="137" spans="1:14" ht="57.6" x14ac:dyDescent="0.3">
      <c r="A137" s="18" t="s">
        <v>86</v>
      </c>
      <c r="B137" s="7">
        <v>67373</v>
      </c>
      <c r="C137" s="7" t="s">
        <v>73</v>
      </c>
      <c r="D137" s="7" t="s">
        <v>198</v>
      </c>
      <c r="E137" s="7">
        <v>0</v>
      </c>
      <c r="F137" s="7" t="s">
        <v>15</v>
      </c>
      <c r="G137" s="7" t="s">
        <v>72</v>
      </c>
      <c r="H137" s="7" t="s">
        <v>18</v>
      </c>
      <c r="I137" s="18" t="s">
        <v>86</v>
      </c>
      <c r="J137" s="20">
        <v>0</v>
      </c>
      <c r="K137" s="37" t="s">
        <v>88</v>
      </c>
      <c r="L137" s="37" t="s">
        <v>90</v>
      </c>
      <c r="M137" s="37" t="s">
        <v>169</v>
      </c>
      <c r="N137" s="7" t="str">
        <f>IF(Tabela1[[#This Row],[DATA INSPECAO]]="","",IF(AND($F137="Substituido",J137&gt;0,),"ALTA PRIORIDADE","NORMAL"))</f>
        <v>NORMAL</v>
      </c>
    </row>
    <row r="138" spans="1:14" ht="115.2" x14ac:dyDescent="0.3">
      <c r="A138" s="18" t="s">
        <v>86</v>
      </c>
      <c r="B138" s="7" t="s">
        <v>86</v>
      </c>
      <c r="C138" s="7" t="s">
        <v>73</v>
      </c>
      <c r="D138" s="7" t="s">
        <v>200</v>
      </c>
      <c r="E138" s="7">
        <v>0</v>
      </c>
      <c r="F138" s="7" t="s">
        <v>15</v>
      </c>
      <c r="G138" s="7" t="s">
        <v>72</v>
      </c>
      <c r="H138" s="7" t="s">
        <v>18</v>
      </c>
      <c r="I138" s="18" t="s">
        <v>86</v>
      </c>
      <c r="J138" s="20">
        <v>0</v>
      </c>
      <c r="K138" s="37" t="s">
        <v>88</v>
      </c>
      <c r="L138" s="37" t="s">
        <v>88</v>
      </c>
      <c r="M138" s="37" t="s">
        <v>152</v>
      </c>
      <c r="N138" s="7" t="str">
        <f>IF(Tabela1[[#This Row],[DATA INSPECAO]]="","",IF(AND($F138="Substituido",J138&gt;0,),"ALTA PRIORIDADE","NORMAL"))</f>
        <v>NORMAL</v>
      </c>
    </row>
    <row r="139" spans="1:14" ht="57.6" x14ac:dyDescent="0.3">
      <c r="A139" s="18" t="s">
        <v>86</v>
      </c>
      <c r="B139" s="7" t="s">
        <v>86</v>
      </c>
      <c r="C139" s="7" t="s">
        <v>73</v>
      </c>
      <c r="D139" s="7" t="s">
        <v>201</v>
      </c>
      <c r="E139" s="7">
        <v>0</v>
      </c>
      <c r="F139" s="7" t="s">
        <v>87</v>
      </c>
      <c r="G139" s="7" t="s">
        <v>72</v>
      </c>
      <c r="H139" s="7" t="s">
        <v>18</v>
      </c>
      <c r="I139" s="18" t="s">
        <v>86</v>
      </c>
      <c r="J139" s="20">
        <v>0</v>
      </c>
      <c r="K139" s="37" t="s">
        <v>89</v>
      </c>
      <c r="L139" s="37" t="s">
        <v>89</v>
      </c>
      <c r="M139" s="37" t="s">
        <v>154</v>
      </c>
      <c r="N139" s="7" t="str">
        <f>IF(Tabela1[[#This Row],[DATA INSPECAO]]="","",IF(AND($F139="Substituido",J139&gt;0,),"ALTA PRIORIDADE","NORMAL"))</f>
        <v>NORMAL</v>
      </c>
    </row>
    <row r="140" spans="1:14" x14ac:dyDescent="0.3">
      <c r="A140" s="18" t="s">
        <v>86</v>
      </c>
      <c r="B140" s="7" t="s">
        <v>86</v>
      </c>
      <c r="C140" s="7" t="s">
        <v>73</v>
      </c>
      <c r="D140" s="7" t="s">
        <v>202</v>
      </c>
      <c r="E140" s="7">
        <v>0</v>
      </c>
      <c r="F140" s="7" t="s">
        <v>87</v>
      </c>
      <c r="G140" s="7" t="s">
        <v>72</v>
      </c>
      <c r="H140" s="7" t="s">
        <v>18</v>
      </c>
      <c r="I140" s="18" t="s">
        <v>86</v>
      </c>
      <c r="J140" s="20">
        <v>0</v>
      </c>
      <c r="K140" s="37" t="s">
        <v>88</v>
      </c>
      <c r="L140" s="37" t="s">
        <v>88</v>
      </c>
      <c r="M140" s="37" t="s">
        <v>135</v>
      </c>
      <c r="N140" s="7" t="str">
        <f>IF(Tabela1[[#This Row],[DATA INSPECAO]]="","",IF(AND($F140="Substituido",J140&gt;0,),"ALTA PRIORIDADE","NORMAL"))</f>
        <v>NORMAL</v>
      </c>
    </row>
    <row r="141" spans="1:14" ht="86.4" x14ac:dyDescent="0.3">
      <c r="A141" s="18" t="s">
        <v>86</v>
      </c>
      <c r="B141" s="7" t="s">
        <v>86</v>
      </c>
      <c r="C141" s="7" t="s">
        <v>81</v>
      </c>
      <c r="D141" s="7" t="s">
        <v>207</v>
      </c>
      <c r="E141" s="7">
        <v>0</v>
      </c>
      <c r="F141" s="7" t="s">
        <v>87</v>
      </c>
      <c r="G141" s="7" t="s">
        <v>72</v>
      </c>
      <c r="H141" s="7" t="s">
        <v>18</v>
      </c>
      <c r="I141" s="18" t="s">
        <v>86</v>
      </c>
      <c r="J141" s="20">
        <v>0</v>
      </c>
      <c r="K141" s="37" t="s">
        <v>89</v>
      </c>
      <c r="L141" s="37" t="s">
        <v>89</v>
      </c>
      <c r="M141" s="37" t="s">
        <v>151</v>
      </c>
      <c r="N141" s="7" t="str">
        <f>IF(Tabela1[[#This Row],[DATA INSPECAO]]="","",IF(AND($F141="Substituido",J141&gt;0,),"ALTA PRIORIDADE","NORMAL"))</f>
        <v>NORMAL</v>
      </c>
    </row>
    <row r="142" spans="1:14" x14ac:dyDescent="0.3">
      <c r="A142" s="18" t="s">
        <v>86</v>
      </c>
      <c r="B142" s="7" t="s">
        <v>86</v>
      </c>
      <c r="C142" s="7" t="s">
        <v>73</v>
      </c>
      <c r="D142" s="7" t="s">
        <v>204</v>
      </c>
      <c r="E142" s="7">
        <v>0</v>
      </c>
      <c r="F142" s="7" t="s">
        <v>87</v>
      </c>
      <c r="G142" s="7" t="s">
        <v>72</v>
      </c>
      <c r="H142" s="7" t="s">
        <v>18</v>
      </c>
      <c r="I142" s="18" t="s">
        <v>86</v>
      </c>
      <c r="J142" s="20">
        <v>0</v>
      </c>
      <c r="K142" s="37" t="s">
        <v>88</v>
      </c>
      <c r="L142" s="37" t="s">
        <v>89</v>
      </c>
      <c r="M142" s="37"/>
      <c r="N142" s="7" t="str">
        <f>IF(Tabela1[[#This Row],[DATA INSPECAO]]="","",IF(AND($F142="Substituido",J142&gt;0,),"ALTA PRIORIDADE","NORMAL"))</f>
        <v>NORMAL</v>
      </c>
    </row>
    <row r="143" spans="1:14" ht="57.6" x14ac:dyDescent="0.3">
      <c r="A143" s="18" t="s">
        <v>86</v>
      </c>
      <c r="B143" s="7" t="s">
        <v>86</v>
      </c>
      <c r="C143" s="7" t="s">
        <v>81</v>
      </c>
      <c r="D143" s="7" t="s">
        <v>209</v>
      </c>
      <c r="E143" s="7">
        <v>0</v>
      </c>
      <c r="F143" s="7" t="s">
        <v>87</v>
      </c>
      <c r="G143" s="7" t="s">
        <v>72</v>
      </c>
      <c r="H143" s="7" t="s">
        <v>18</v>
      </c>
      <c r="I143" s="18" t="s">
        <v>86</v>
      </c>
      <c r="J143" s="20">
        <v>0</v>
      </c>
      <c r="K143" s="37" t="s">
        <v>88</v>
      </c>
      <c r="L143" s="37" t="s">
        <v>88</v>
      </c>
      <c r="M143" s="37" t="s">
        <v>137</v>
      </c>
      <c r="N143" s="7" t="str">
        <f>IF(Tabela1[[#This Row],[DATA INSPECAO]]="","",IF(AND($F143="Substituido",J143&gt;0,),"ALTA PRIORIDADE","NORMAL"))</f>
        <v>NORMAL</v>
      </c>
    </row>
    <row r="144" spans="1:14" ht="144" x14ac:dyDescent="0.3">
      <c r="A144" s="18" t="s">
        <v>86</v>
      </c>
      <c r="B144" s="7" t="s">
        <v>86</v>
      </c>
      <c r="C144" s="7" t="s">
        <v>81</v>
      </c>
      <c r="D144" s="7" t="s">
        <v>210</v>
      </c>
      <c r="E144" s="7">
        <v>0</v>
      </c>
      <c r="F144" s="7" t="s">
        <v>87</v>
      </c>
      <c r="G144" s="7" t="s">
        <v>72</v>
      </c>
      <c r="H144" s="7" t="s">
        <v>18</v>
      </c>
      <c r="I144" s="18">
        <v>45630</v>
      </c>
      <c r="J144" s="20" t="s">
        <v>83</v>
      </c>
      <c r="K144" s="37" t="s">
        <v>89</v>
      </c>
      <c r="L144" s="37" t="s">
        <v>88</v>
      </c>
      <c r="M144" s="37" t="s">
        <v>155</v>
      </c>
      <c r="N144" s="7" t="str">
        <f>IF(Tabela1[[#This Row],[DATA INSPECAO]]="","",IF(AND($F144="Substituido",J144&gt;0,),"ALTA PRIORIDADE","NORMAL"))</f>
        <v>NORMAL</v>
      </c>
    </row>
    <row r="145" spans="1:14" ht="28.8" x14ac:dyDescent="0.3">
      <c r="A145" s="57" t="s">
        <v>86</v>
      </c>
      <c r="B145" s="44" t="s">
        <v>86</v>
      </c>
      <c r="C145" s="44" t="s">
        <v>81</v>
      </c>
      <c r="D145" s="44" t="s">
        <v>214</v>
      </c>
      <c r="E145" s="44">
        <v>0</v>
      </c>
      <c r="F145" s="44" t="s">
        <v>87</v>
      </c>
      <c r="G145" s="44" t="s">
        <v>72</v>
      </c>
      <c r="H145" s="44" t="s">
        <v>18</v>
      </c>
      <c r="I145" s="57" t="s">
        <v>86</v>
      </c>
      <c r="J145" s="58">
        <v>0</v>
      </c>
      <c r="K145" s="59" t="s">
        <v>89</v>
      </c>
      <c r="L145" s="59" t="s">
        <v>88</v>
      </c>
      <c r="M145" s="59" t="s">
        <v>112</v>
      </c>
      <c r="N145" s="44" t="str">
        <f>IF(Tabela1[[#This Row],[DATA INSPECAO]]="","",IF(AND($F145="Substituido",J145&gt;0,),"ALTA PRIORIDADE","NORMAL"))</f>
        <v>NORMAL</v>
      </c>
    </row>
    <row r="146" spans="1:14" ht="57.6" x14ac:dyDescent="0.3">
      <c r="A146" s="57" t="s">
        <v>86</v>
      </c>
      <c r="B146" s="44" t="s">
        <v>86</v>
      </c>
      <c r="C146" s="44" t="s">
        <v>73</v>
      </c>
      <c r="D146" s="44" t="s">
        <v>196</v>
      </c>
      <c r="E146" s="44">
        <v>0</v>
      </c>
      <c r="F146" s="44" t="s">
        <v>87</v>
      </c>
      <c r="G146" s="44" t="s">
        <v>17</v>
      </c>
      <c r="H146" s="44" t="s">
        <v>18</v>
      </c>
      <c r="I146" s="57" t="s">
        <v>86</v>
      </c>
      <c r="J146" s="58">
        <v>0</v>
      </c>
      <c r="K146" s="59" t="s">
        <v>88</v>
      </c>
      <c r="L146" s="59" t="s">
        <v>88</v>
      </c>
      <c r="M146" s="59" t="s">
        <v>122</v>
      </c>
      <c r="N146" s="44" t="str">
        <f>IF(Tabela1[[#This Row],[DATA INSPECAO]]="","",IF(AND($F146="Substituido",J146&gt;0,),"ALTA PRIORIDADE","NORMAL"))</f>
        <v>NORMAL</v>
      </c>
    </row>
    <row r="147" spans="1:14" ht="57.6" x14ac:dyDescent="0.3">
      <c r="A147" s="57" t="s">
        <v>86</v>
      </c>
      <c r="B147" s="44" t="s">
        <v>86</v>
      </c>
      <c r="C147" s="44" t="s">
        <v>81</v>
      </c>
      <c r="D147" s="44" t="s">
        <v>215</v>
      </c>
      <c r="E147" s="44">
        <v>0</v>
      </c>
      <c r="F147" s="44" t="s">
        <v>87</v>
      </c>
      <c r="G147" s="44" t="s">
        <v>72</v>
      </c>
      <c r="H147" s="44" t="s">
        <v>18</v>
      </c>
      <c r="I147" s="57" t="s">
        <v>86</v>
      </c>
      <c r="J147" s="58">
        <v>0</v>
      </c>
      <c r="K147" s="59" t="s">
        <v>88</v>
      </c>
      <c r="L147" s="59" t="s">
        <v>88</v>
      </c>
      <c r="M147" s="59" t="s">
        <v>158</v>
      </c>
      <c r="N147" s="44" t="str">
        <f>IF(Tabela1[[#This Row],[DATA INSPECAO]]="","",IF(AND($F147="Substituido",J147&gt;0,),"ALTA PRIORIDADE","NORMAL"))</f>
        <v>NORMAL</v>
      </c>
    </row>
    <row r="148" spans="1:14" ht="28.8" x14ac:dyDescent="0.3">
      <c r="A148" s="57">
        <v>45965</v>
      </c>
      <c r="B148" s="44"/>
      <c r="C148" s="44" t="s">
        <v>16</v>
      </c>
      <c r="D148" s="44" t="s">
        <v>183</v>
      </c>
      <c r="E148" s="44">
        <v>10</v>
      </c>
      <c r="F148" s="44" t="s">
        <v>15</v>
      </c>
      <c r="G148" s="44" t="s">
        <v>423</v>
      </c>
      <c r="H148" s="44" t="s">
        <v>18</v>
      </c>
      <c r="I148" s="57">
        <v>45965</v>
      </c>
      <c r="J148" s="58">
        <f>Tabela1[[#This Row],[DATA SUBSTITUICAO]]-Tabela1[[#This Row],[DATA INSPECAO]]</f>
        <v>0</v>
      </c>
      <c r="K148" s="59" t="s">
        <v>88</v>
      </c>
      <c r="L148" s="59" t="s">
        <v>88</v>
      </c>
      <c r="M148" s="59" t="s">
        <v>427</v>
      </c>
      <c r="N148" s="44" t="str">
        <f>IF(Tabela1[[#This Row],[DATA INSPECAO]]="","",IF(AND($F148="Substituido",J148&gt;0,),"ALTA PRIORIDADE","NORMAL"))</f>
        <v>NORMAL</v>
      </c>
    </row>
    <row r="149" spans="1:14" ht="28.8" x14ac:dyDescent="0.3">
      <c r="A149" s="57">
        <v>45966</v>
      </c>
      <c r="B149" s="44"/>
      <c r="C149" s="44" t="s">
        <v>16</v>
      </c>
      <c r="D149" s="44" t="s">
        <v>188</v>
      </c>
      <c r="E149" s="44">
        <v>10</v>
      </c>
      <c r="F149" s="44" t="s">
        <v>15</v>
      </c>
      <c r="G149" s="44" t="s">
        <v>423</v>
      </c>
      <c r="H149" s="44" t="s">
        <v>74</v>
      </c>
      <c r="I149" s="57">
        <v>45967</v>
      </c>
      <c r="J149" s="58">
        <f>Tabela1[[#This Row],[DATA SUBSTITUICAO]]-Tabela1[[#This Row],[DATA INSPECAO]]</f>
        <v>1</v>
      </c>
      <c r="K149" s="59" t="s">
        <v>88</v>
      </c>
      <c r="L149" s="59" t="s">
        <v>88</v>
      </c>
      <c r="M149" s="59" t="s">
        <v>428</v>
      </c>
      <c r="N149" s="44" t="str">
        <f>IF(Tabela1[[#This Row],[DATA INSPECAO]]="","",IF(AND($F149="Substituido",J149&gt;0,),"ALTA PRIORIDADE","NORMAL"))</f>
        <v>NORMAL</v>
      </c>
    </row>
    <row r="150" spans="1:14" x14ac:dyDescent="0.3">
      <c r="A150" s="96">
        <v>45971</v>
      </c>
      <c r="B150" s="97"/>
      <c r="C150" s="97"/>
      <c r="D150" s="97" t="s">
        <v>201</v>
      </c>
      <c r="E150" s="97">
        <v>0</v>
      </c>
      <c r="F150" s="44" t="s">
        <v>87</v>
      </c>
      <c r="G150" s="44" t="s">
        <v>423</v>
      </c>
      <c r="H150" s="44" t="s">
        <v>18</v>
      </c>
      <c r="I150" s="96">
        <v>45971</v>
      </c>
      <c r="J150" s="98">
        <v>0</v>
      </c>
      <c r="K150" s="99" t="s">
        <v>88</v>
      </c>
      <c r="L150" s="99" t="s">
        <v>88</v>
      </c>
      <c r="M150" s="99"/>
      <c r="N150" s="100" t="str">
        <f>IF(Tabela1[[#This Row],[DATA INSPECAO]]="","",IF(AND($F150="Substituido",J150&gt;0,),"ALTA PRIORIDADE","NORMAL"))</f>
        <v>NORMAL</v>
      </c>
    </row>
    <row r="151" spans="1:14" x14ac:dyDescent="0.3">
      <c r="A151" s="96">
        <v>45972</v>
      </c>
      <c r="B151" s="97"/>
      <c r="C151" s="97"/>
      <c r="D151" s="97" t="s">
        <v>197</v>
      </c>
      <c r="E151" s="97">
        <v>0</v>
      </c>
      <c r="F151" s="97" t="s">
        <v>87</v>
      </c>
      <c r="G151" s="44" t="s">
        <v>423</v>
      </c>
      <c r="H151" s="44" t="s">
        <v>18</v>
      </c>
      <c r="I151" s="96">
        <v>45972</v>
      </c>
      <c r="J151" s="98">
        <v>0</v>
      </c>
      <c r="K151" s="99" t="s">
        <v>88</v>
      </c>
      <c r="L151" s="99" t="s">
        <v>88</v>
      </c>
      <c r="M151" s="99"/>
      <c r="N151" s="100" t="str">
        <f>IF(Tabela1[[#This Row],[DATA INSPECAO]]="","",IF(AND($F151="Substituido",J151&gt;0,),"ALTA PRIORIDADE","NORMAL"))</f>
        <v>NORMAL</v>
      </c>
    </row>
    <row r="152" spans="1:14" ht="28.8" x14ac:dyDescent="0.3">
      <c r="A152" s="96">
        <v>45974</v>
      </c>
      <c r="B152" s="97"/>
      <c r="C152" s="97"/>
      <c r="D152" s="97" t="s">
        <v>211</v>
      </c>
      <c r="E152" s="97">
        <v>20</v>
      </c>
      <c r="F152" s="97" t="s">
        <v>15</v>
      </c>
      <c r="G152" s="44" t="s">
        <v>423</v>
      </c>
      <c r="H152" s="44" t="s">
        <v>18</v>
      </c>
      <c r="I152" s="96">
        <v>45974</v>
      </c>
      <c r="J152" s="98">
        <v>0</v>
      </c>
      <c r="K152" s="99" t="s">
        <v>88</v>
      </c>
      <c r="L152" s="99" t="s">
        <v>88</v>
      </c>
      <c r="M152" s="99" t="s">
        <v>426</v>
      </c>
      <c r="N152" s="100" t="str">
        <f>IF(Tabela1[[#This Row],[DATA INSPECAO]]="","",IF(AND($F152="Substituido",J152&gt;0,),"ALTA PRIORIDADE","NORMAL"))</f>
        <v>NORMAL</v>
      </c>
    </row>
    <row r="158" spans="1:14" x14ac:dyDescent="0.3">
      <c r="J158" s="86"/>
    </row>
  </sheetData>
  <phoneticPr fontId="5" type="noConversion"/>
  <conditionalFormatting sqref="G2:G152">
    <cfRule type="expression" dxfId="157" priority="1">
      <formula>$G2="Terceiro Ciclo"</formula>
    </cfRule>
    <cfRule type="expression" dxfId="156" priority="2">
      <formula>$G2="Segundo Ciclo"</formula>
    </cfRule>
    <cfRule type="expression" dxfId="155" priority="3">
      <formula>$G2="Primeiro Ciclo"</formula>
    </cfRule>
  </conditionalFormatting>
  <dataValidations count="2">
    <dataValidation type="list" allowBlank="1" showInputMessage="1" showErrorMessage="1" sqref="F2:F152" xr:uid="{377AED16-54B3-46E5-99F1-282D4BA3693B}">
      <formula1>"Substituido, Ímãs OK"</formula1>
    </dataValidation>
    <dataValidation type="list" allowBlank="1" showInputMessage="1" showErrorMessage="1" sqref="K2:L152" xr:uid="{6BF2E99C-64D2-446F-9580-62426B1D8B9B}">
      <formula1>"Baixo, Médio, Alto"</formula1>
    </dataValidation>
  </dataValidations>
  <pageMargins left="0.511811024" right="0.511811024" top="0.78740157499999996" bottom="0.78740157499999996" header="0.31496062000000002" footer="0.31496062000000002"/>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1EDBA-9B6C-49A4-9495-87550629949F}">
  <dimension ref="A1:H2"/>
  <sheetViews>
    <sheetView zoomScale="85" zoomScaleNormal="85" workbookViewId="0">
      <selection activeCell="F11" sqref="F11"/>
    </sheetView>
  </sheetViews>
  <sheetFormatPr defaultColWidth="20.109375" defaultRowHeight="14.4" x14ac:dyDescent="0.3"/>
  <sheetData>
    <row r="1" spans="1:8" x14ac:dyDescent="0.3">
      <c r="A1" s="8" t="s">
        <v>77</v>
      </c>
      <c r="B1" s="9" t="s">
        <v>78</v>
      </c>
      <c r="C1" s="9" t="s">
        <v>79</v>
      </c>
      <c r="D1" s="9" t="s">
        <v>80</v>
      </c>
      <c r="E1" s="9" t="s">
        <v>175</v>
      </c>
      <c r="F1" s="10" t="s">
        <v>172</v>
      </c>
      <c r="G1" s="9" t="s">
        <v>173</v>
      </c>
      <c r="H1" s="9" t="s">
        <v>174</v>
      </c>
    </row>
    <row r="2" spans="1:8" x14ac:dyDescent="0.3">
      <c r="A2" s="11"/>
      <c r="B2" s="12"/>
      <c r="C2" s="12"/>
      <c r="D2" s="12"/>
      <c r="E2" s="12"/>
      <c r="F2" s="13"/>
      <c r="G2" s="46"/>
      <c r="H2" s="46"/>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B6CB8-6C4F-4BCF-8D13-F323DC54E217}">
  <dimension ref="A1:P48"/>
  <sheetViews>
    <sheetView showGridLines="0" zoomScale="70" zoomScaleNormal="70" workbookViewId="0">
      <pane ySplit="1" topLeftCell="A23" activePane="bottomLeft" state="frozen"/>
      <selection pane="bottomLeft" activeCell="G15" sqref="G15"/>
    </sheetView>
  </sheetViews>
  <sheetFormatPr defaultRowHeight="14.4" x14ac:dyDescent="0.3"/>
  <cols>
    <col min="1" max="1" width="10.44140625" customWidth="1"/>
    <col min="2" max="2" width="15.33203125" bestFit="1" customWidth="1"/>
    <col min="3" max="3" width="11.77734375" customWidth="1"/>
    <col min="4" max="4" width="20" customWidth="1"/>
    <col min="5" max="5" width="18.6640625" customWidth="1"/>
    <col min="6" max="6" width="19.5546875" bestFit="1" customWidth="1"/>
    <col min="7" max="7" width="19.88671875" customWidth="1"/>
    <col min="8" max="8" width="12.77734375" customWidth="1"/>
    <col min="9" max="9" width="11.44140625" customWidth="1"/>
    <col min="10" max="10" width="12.77734375" customWidth="1"/>
    <col min="11" max="11" width="18.6640625" bestFit="1" customWidth="1"/>
    <col min="12" max="12" width="17.88671875" customWidth="1"/>
    <col min="13" max="14" width="13.33203125" bestFit="1" customWidth="1"/>
    <col min="15" max="15" width="23.21875" customWidth="1"/>
    <col min="16" max="16" width="16.33203125" bestFit="1" customWidth="1"/>
    <col min="17" max="17" width="10.33203125" bestFit="1" customWidth="1"/>
    <col min="18" max="18" width="13.44140625" bestFit="1" customWidth="1"/>
  </cols>
  <sheetData>
    <row r="1" spans="1:16" s="3" customFormat="1" ht="37.200000000000003" customHeight="1" x14ac:dyDescent="0.3">
      <c r="A1" s="37" t="s">
        <v>9</v>
      </c>
      <c r="B1" s="37" t="s">
        <v>10</v>
      </c>
      <c r="C1" s="38" t="s">
        <v>29</v>
      </c>
      <c r="D1" s="37" t="s">
        <v>30</v>
      </c>
      <c r="E1" s="37" t="s">
        <v>31</v>
      </c>
      <c r="F1" s="37" t="s">
        <v>32</v>
      </c>
      <c r="G1" s="37" t="s">
        <v>33</v>
      </c>
      <c r="H1" s="37" t="s">
        <v>34</v>
      </c>
      <c r="I1" s="37" t="s">
        <v>35</v>
      </c>
      <c r="J1" s="37" t="s">
        <v>36</v>
      </c>
      <c r="K1" s="37" t="s">
        <v>37</v>
      </c>
      <c r="L1" s="37" t="s">
        <v>38</v>
      </c>
      <c r="M1" s="37" t="s">
        <v>39</v>
      </c>
      <c r="N1" s="37" t="s">
        <v>40</v>
      </c>
      <c r="O1" s="37" t="s">
        <v>41</v>
      </c>
      <c r="P1" s="37" t="s">
        <v>352</v>
      </c>
    </row>
    <row r="2" spans="1:16" x14ac:dyDescent="0.3">
      <c r="A2" s="7" t="s">
        <v>180</v>
      </c>
      <c r="B2" s="7" t="str">
        <f>IF(Tabela2[[#This Row],[ TURBINA]]="","",_xlfn.XLOOKUP(Tabela2[[#This Row],[ TURBINA]],Tabela1[TURBINA],Tabela1[CLUSTER]))</f>
        <v>Garrote</v>
      </c>
      <c r="C2" s="7">
        <f>IF(Tabela2[[#This Row],[ TURBINA]]="","",SUMIF(Dados_Brutos!D:D,A2,Dados_Brutos!E:E))</f>
        <v>0</v>
      </c>
      <c r="D2" s="18" cm="1">
        <f t="array" ref="D2">IF(Tabela2[[#This Row],[ TURBINA]]="","",MIN(IF(Dados_Brutos!D:D=Tabela2[[#This Row],[ TURBINA]],Dados_Brutos!A:A)))</f>
        <v>45439</v>
      </c>
      <c r="E2" s="18" cm="1">
        <f t="array" ref="E2">IF(Tabela2[[#This Row],[ TURBINA]]="","",MAX(IF(Tabela1[TURBINA] =Tabela2[[#This Row],[ TURBINA]],Tabela1[DATA INSPECAO])))</f>
        <v>45775</v>
      </c>
      <c r="F2" s="7" t="str">
        <f>IFERROR(INDEX(Dados_Brutos!H:H,MATCH(A2,Dados_Brutos!D:D,0)),"")</f>
        <v>Em Operação</v>
      </c>
      <c r="G2" s="7">
        <f>IF(Tabela2[[#This Row],[ TURBINA]]="","",SUMIF(Dados_Brutos!D:D,A2,Dados_Brutos!J:J))</f>
        <v>0</v>
      </c>
      <c r="H2" s="7">
        <f>IF(Tabela2[[#This Row],[ TURBINA]]="","",COUNTIFS(Dados_Brutos!D:D,A2,Dados_Brutos!K:K,"*Baixo*"))</f>
        <v>3</v>
      </c>
      <c r="I2" s="7">
        <f>IF(Tabela2[[#This Row],[ TURBINA]]="","",COUNTIFS(Dados_Brutos!D:D,A2,Dados_Brutos!K:K,"*Médio*"))</f>
        <v>0</v>
      </c>
      <c r="J2" s="7">
        <f>IF(Tabela2[[#This Row],[ TURBINA]]="","",COUNTIFS(Dados_Brutos!D:D,A2,Dados_Brutos!K:K,"*Alto*"))</f>
        <v>0</v>
      </c>
      <c r="K2" s="7" t="str">
        <f>IF(Tabela2[[#This Row],[ TURBINA]]="","",IF(AND(C2&gt;20,J2&gt;3),"🟥 ALTO RISCO",IF(AND(C2&gt;10,I2&gt;1),"🟨 MÉDIO RISCO","🟩 BAIXO RISCO")))</f>
        <v>🟩 BAIXO RISCO</v>
      </c>
      <c r="L2" s="66">
        <f>Tabela2[[#This Row],[ TOTAL IMAS TROCADOS]]*Config!$B$2</f>
        <v>0</v>
      </c>
      <c r="M2" s="47" t="str">
        <f t="shared" ref="M2:M3" ca="1" si="0">IF(C2&gt;0, (TODAY()-D2)/C2, "Sem dados")</f>
        <v>Sem dados</v>
      </c>
      <c r="N2" s="47" t="str">
        <f t="shared" ref="N2:N3" si="1">IF(C2&gt;0, G2/C2, "Sem dados")</f>
        <v>Sem dados</v>
      </c>
      <c r="O2" s="18">
        <f t="shared" ref="O2:O48" si="2">IFERROR(DATE(YEAR(E2),MONTH(E2)+7,DAY(E2)),"")</f>
        <v>45989</v>
      </c>
      <c r="P2" s="19">
        <f t="shared" ref="P2:P3" ca="1" si="3">IFERROR(1-(G2/(TODAY()-D2)),"")</f>
        <v>1</v>
      </c>
    </row>
    <row r="3" spans="1:16" x14ac:dyDescent="0.3">
      <c r="A3" s="7" t="s">
        <v>205</v>
      </c>
      <c r="B3" s="7" t="str">
        <f>IF(Tabela2[[#This Row],[ TURBINA]]="","",_xlfn.XLOOKUP(Tabela2[[#This Row],[ TURBINA]],Tabela1[TURBINA],Tabela1[CLUSTER]))</f>
        <v>Santo Inacio IV</v>
      </c>
      <c r="C3" s="7">
        <f>IF(Tabela2[[#This Row],[ TURBINA]]="","",SUMIF(Dados_Brutos!D:D,A3,Dados_Brutos!E:E))</f>
        <v>0</v>
      </c>
      <c r="D3" s="18" cm="1">
        <f t="array" ref="D3">IF(Tabela2[[#This Row],[ TURBINA]]="","",MIN(IF(Dados_Brutos!D:D=Tabela2[[#This Row],[ TURBINA]],Dados_Brutos!A:A)))</f>
        <v>45456</v>
      </c>
      <c r="E3" s="18" cm="1">
        <f t="array" ref="E3">IF(Tabela2[[#This Row],[ TURBINA]]="","",MAX(IF(Tabela1[TURBINA] =Tabela2[[#This Row],[ TURBINA]],Tabela1[DATA INSPECAO])))</f>
        <v>45639</v>
      </c>
      <c r="F3" s="7" t="str">
        <f>IFERROR(INDEX(Dados_Brutos!H:H,MATCH(A3,Dados_Brutos!D:D,0)),"")</f>
        <v>Em Operação</v>
      </c>
      <c r="G3" s="7">
        <f>IF(Tabela2[[#This Row],[ TURBINA]]="","",SUMIF(Dados_Brutos!D:D,A3,Dados_Brutos!J:J))</f>
        <v>0</v>
      </c>
      <c r="H3" s="7">
        <f>IF(Tabela2[[#This Row],[ TURBINA]]="","",COUNTIFS(Dados_Brutos!D:D,A3,Dados_Brutos!K:K,"*Baixo*"))</f>
        <v>3</v>
      </c>
      <c r="I3" s="7">
        <f>IF(Tabela2[[#This Row],[ TURBINA]]="","",COUNTIFS(Dados_Brutos!D:D,A3,Dados_Brutos!K:K,"*Médio*"))</f>
        <v>0</v>
      </c>
      <c r="J3" s="7">
        <f>IF(Tabela2[[#This Row],[ TURBINA]]="","",COUNTIFS(Dados_Brutos!D:D,A3,Dados_Brutos!K:K,"*Alto*"))</f>
        <v>0</v>
      </c>
      <c r="K3" s="7" t="str">
        <f>IF(Tabela2[[#This Row],[ TURBINA]]="","",IF(AND(C3&gt;20,J3&gt;3),"🟥 ALTO RISCO",IF(AND(C3&gt;10,I3&gt;1),"🟨 MÉDIO RISCO","🟩 BAIXO RISCO")))</f>
        <v>🟩 BAIXO RISCO</v>
      </c>
      <c r="L3" s="66">
        <f>Tabela2[[#This Row],[ TOTAL IMAS TROCADOS]]*Config!$B$2</f>
        <v>0</v>
      </c>
      <c r="M3" s="47" t="str">
        <f t="shared" ca="1" si="0"/>
        <v>Sem dados</v>
      </c>
      <c r="N3" s="47" t="str">
        <f t="shared" si="1"/>
        <v>Sem dados</v>
      </c>
      <c r="O3" s="18">
        <f t="shared" si="2"/>
        <v>45851</v>
      </c>
      <c r="P3" s="19">
        <f t="shared" ca="1" si="3"/>
        <v>1</v>
      </c>
    </row>
    <row r="4" spans="1:16" x14ac:dyDescent="0.3">
      <c r="A4" s="15" t="s">
        <v>206</v>
      </c>
      <c r="B4" s="15" t="str">
        <f>IF(Tabela2[[#This Row],[ TURBINA]]="","",_xlfn.XLOOKUP(Tabela2[[#This Row],[ TURBINA]],Tabela1[TURBINA],Tabela1[CLUSTER]))</f>
        <v>Santo Inacio IV</v>
      </c>
      <c r="C4" s="15">
        <f>IF(Tabela2[[#This Row],[ TURBINA]]="","",SUMIF(Dados_Brutos!D:D,A4,Dados_Brutos!E:E))</f>
        <v>0</v>
      </c>
      <c r="D4" s="16" cm="1">
        <f t="array" ref="D4">IF(Tabela2[[#This Row],[ TURBINA]]="","",MIN(IF(Dados_Brutos!D:D=Tabela2[[#This Row],[ TURBINA]],Dados_Brutos!A:A)))</f>
        <v>45462</v>
      </c>
      <c r="E4" s="16" cm="1">
        <f t="array" ref="E4">IF(Tabela2[[#This Row],[ TURBINA]]="","",MAX(IF(Tabela1[TURBINA] =Tabela2[[#This Row],[ TURBINA]],Tabela1[DATA INSPECAO])))</f>
        <v>45644</v>
      </c>
      <c r="F4" s="15" t="str">
        <f>IFERROR(INDEX(Dados_Brutos!H:H,MATCH(A4,Dados_Brutos!D:D,0)),"")</f>
        <v>Em Operação</v>
      </c>
      <c r="G4" s="15">
        <f>IF(Tabela2[[#This Row],[ TURBINA]]="","",SUMIF(Dados_Brutos!D:D,A4,Dados_Brutos!J:J))</f>
        <v>0</v>
      </c>
      <c r="H4" s="15">
        <f>IF(Tabela2[[#This Row],[ TURBINA]]="","",COUNTIFS(Dados_Brutos!D:D,A4,Dados_Brutos!K:K,"*Baixo*"))</f>
        <v>3</v>
      </c>
      <c r="I4" s="15">
        <f>IF(Tabela2[[#This Row],[ TURBINA]]="","",COUNTIFS(Dados_Brutos!D:D,A4,Dados_Brutos!K:K,"*Médio*"))</f>
        <v>0</v>
      </c>
      <c r="J4" s="15">
        <f>IF(Tabela2[[#This Row],[ TURBINA]]="","",COUNTIFS(Dados_Brutos!D:D,A4,Dados_Brutos!K:K,"*Alto*"))</f>
        <v>0</v>
      </c>
      <c r="K4" s="15" t="str">
        <f>IF(Tabela2[[#This Row],[ TURBINA]]="","",IF(AND(C4&gt;20,J4&gt;3),"🟥 ALTO RISCO",IF(AND(C4&gt;10,I4&gt;1),"🟨 MÉDIO RISCO","🟩 BAIXO RISCO")))</f>
        <v>🟩 BAIXO RISCO</v>
      </c>
      <c r="L4" s="50">
        <f>Tabela2[[#This Row],[ TOTAL IMAS TROCADOS]]*Config!$B$2</f>
        <v>0</v>
      </c>
      <c r="M4" s="48" t="str">
        <f t="shared" ref="M4:M22" ca="1" si="4">IF(C4&gt;0, (TODAY()-D4)/C4, "Sem dados")</f>
        <v>Sem dados</v>
      </c>
      <c r="N4" s="48" t="str">
        <f t="shared" ref="N4:N22" si="5">IF(C4&gt;0, G4/C4, "Sem dados")</f>
        <v>Sem dados</v>
      </c>
      <c r="O4" s="16">
        <f t="shared" si="2"/>
        <v>45856</v>
      </c>
      <c r="P4" s="17">
        <f t="shared" ref="P4:P22" ca="1" si="6">IFERROR(1-(G4/(TODAY()-D4)),"")</f>
        <v>1</v>
      </c>
    </row>
    <row r="5" spans="1:16" x14ac:dyDescent="0.3">
      <c r="A5" s="33" t="s">
        <v>181</v>
      </c>
      <c r="B5" s="33" t="str">
        <f>IF(Tabela2[[#This Row],[ TURBINA]]="","",_xlfn.XLOOKUP(Tabela2[[#This Row],[ TURBINA]],Tabela1[TURBINA],Tabela1[CLUSTER]))</f>
        <v>Garrote</v>
      </c>
      <c r="C5" s="33">
        <f>IF(Tabela2[[#This Row],[ TURBINA]]="","",SUMIF(Dados_Brutos!D:D,A5,Dados_Brutos!E:E))</f>
        <v>0</v>
      </c>
      <c r="D5" s="34" cm="1">
        <f t="array" ref="D5">IF(Tabela2[[#This Row],[ TURBINA]]="","",MIN(IF(Dados_Brutos!D:D=Tabela2[[#This Row],[ TURBINA]],Dados_Brutos!A:A)))</f>
        <v>45436</v>
      </c>
      <c r="E5" s="34" cm="1">
        <f t="array" ref="E5">IF(Tabela2[[#This Row],[ TURBINA]]="","",MAX(IF(Tabela1[TURBINA] =Tabela2[[#This Row],[ TURBINA]],Tabela1[DATA INSPECAO])))</f>
        <v>45734</v>
      </c>
      <c r="F5" s="33" t="str">
        <f>IFERROR(INDEX(Dados_Brutos!H:H,MATCH(A5,Dados_Brutos!D:D,0)),"")</f>
        <v>Em Operação</v>
      </c>
      <c r="G5" s="33">
        <f>IF(Tabela2[[#This Row],[ TURBINA]]="","",SUMIF(Dados_Brutos!D:D,A5,Dados_Brutos!J:J))</f>
        <v>0</v>
      </c>
      <c r="H5" s="33">
        <f>IF(Tabela2[[#This Row],[ TURBINA]]="","",COUNTIFS(Dados_Brutos!D:D,A5,Dados_Brutos!K:K,"*Baixo*"))</f>
        <v>3</v>
      </c>
      <c r="I5" s="33">
        <f>IF(Tabela2[[#This Row],[ TURBINA]]="","",COUNTIFS(Dados_Brutos!D:D,A5,Dados_Brutos!K:K,"*Médio*"))</f>
        <v>0</v>
      </c>
      <c r="J5" s="33">
        <f>IF(Tabela2[[#This Row],[ TURBINA]]="","",COUNTIFS(Dados_Brutos!D:D,A5,Dados_Brutos!K:K,"*Alto*"))</f>
        <v>0</v>
      </c>
      <c r="K5" s="33" t="str">
        <f>IF(Tabela2[[#This Row],[ TURBINA]]="","",IF(AND(C5&gt;20,J5&gt;3),"🟥 ALTO RISCO",IF(AND(C5&gt;10,I5&gt;1),"🟨 MÉDIO RISCO","🟩 BAIXO RISCO")))</f>
        <v>🟩 BAIXO RISCO</v>
      </c>
      <c r="L5" s="67">
        <f>Tabela2[[#This Row],[ TOTAL IMAS TROCADOS]]*Config!$B$2</f>
        <v>0</v>
      </c>
      <c r="M5" s="49" t="str">
        <f t="shared" ca="1" si="4"/>
        <v>Sem dados</v>
      </c>
      <c r="N5" s="49" t="str">
        <f t="shared" si="5"/>
        <v>Sem dados</v>
      </c>
      <c r="O5" s="34">
        <f t="shared" si="2"/>
        <v>45948</v>
      </c>
      <c r="P5" s="36">
        <f t="shared" ca="1" si="6"/>
        <v>1</v>
      </c>
    </row>
    <row r="6" spans="1:16" x14ac:dyDescent="0.3">
      <c r="A6" s="15" t="s">
        <v>191</v>
      </c>
      <c r="B6" s="15" t="str">
        <f>IF(Tabela2[[#This Row],[ TURBINA]]="","",_xlfn.XLOOKUP(Tabela2[[#This Row],[ TURBINA]],Tabela1[TURBINA],Tabela1[CLUSTER]))</f>
        <v>Santo Inacio III</v>
      </c>
      <c r="C6" s="15">
        <f>IF(Tabela2[[#This Row],[ TURBINA]]="","",SUMIF(Dados_Brutos!D:D,A6,Dados_Brutos!E:E))</f>
        <v>80</v>
      </c>
      <c r="D6" s="16" cm="1">
        <f t="array" ref="D6">IF(Tabela2[[#This Row],[ TURBINA]]="","",MIN(IF(Dados_Brutos!D:D=Tabela2[[#This Row],[ TURBINA]],Dados_Brutos!A:A)))</f>
        <v>45425</v>
      </c>
      <c r="E6" s="16" cm="1">
        <f t="array" ref="E6">IF(Tabela2[[#This Row],[ TURBINA]]="","",MAX(IF(Tabela1[TURBINA] =Tabela2[[#This Row],[ TURBINA]],Tabela1[DATA INSPECAO])))</f>
        <v>45749</v>
      </c>
      <c r="F6" s="15" t="str">
        <f>IFERROR(INDEX(Dados_Brutos!H:H,MATCH(A6,Dados_Brutos!D:D,0)),"")</f>
        <v>Fora de Operação</v>
      </c>
      <c r="G6" s="15">
        <f>IF(Tabela2[[#This Row],[ TURBINA]]="","",SUMIF(Dados_Brutos!D:D,A6,Dados_Brutos!J:J))</f>
        <v>173</v>
      </c>
      <c r="H6" s="15">
        <f>IF(Tabela2[[#This Row],[ TURBINA]]="","",COUNTIFS(Dados_Brutos!D:D,A6,Dados_Brutos!K:K,"*Baixo*"))</f>
        <v>2</v>
      </c>
      <c r="I6" s="15">
        <f>IF(Tabela2[[#This Row],[ TURBINA]]="","",COUNTIFS(Dados_Brutos!D:D,A6,Dados_Brutos!K:K,"*Médio*"))</f>
        <v>0</v>
      </c>
      <c r="J6" s="15">
        <f>IF(Tabela2[[#This Row],[ TURBINA]]="","",COUNTIFS(Dados_Brutos!D:D,A6,Dados_Brutos!K:K,"*Alto*"))</f>
        <v>1</v>
      </c>
      <c r="K6" s="15" t="str">
        <f>IF(Tabela2[[#This Row],[ TURBINA]]="","",IF(AND(C6&gt;20,J6&gt;3),"🟥 ALTO RISCO",IF(AND(C6&gt;10,I6&gt;1),"🟨 MÉDIO RISCO","🟩 BAIXO RISCO")))</f>
        <v>🟩 BAIXO RISCO</v>
      </c>
      <c r="L6" s="50">
        <f>Tabela2[[#This Row],[ TOTAL IMAS TROCADOS]]*Config!$B$2</f>
        <v>102575.584</v>
      </c>
      <c r="M6" s="48">
        <f t="shared" ca="1" si="4"/>
        <v>6.8624999999999998</v>
      </c>
      <c r="N6" s="48">
        <f t="shared" si="5"/>
        <v>2.1625000000000001</v>
      </c>
      <c r="O6" s="16">
        <f t="shared" si="2"/>
        <v>45963</v>
      </c>
      <c r="P6" s="17">
        <f t="shared" ca="1" si="6"/>
        <v>0.68488160291438982</v>
      </c>
    </row>
    <row r="7" spans="1:16" x14ac:dyDescent="0.3">
      <c r="A7" s="15" t="s">
        <v>192</v>
      </c>
      <c r="B7" s="15" t="str">
        <f>IF(Tabela2[[#This Row],[ TURBINA]]="","",_xlfn.XLOOKUP(Tabela2[[#This Row],[ TURBINA]],Tabela1[TURBINA],Tabela1[CLUSTER]))</f>
        <v>Santo Inacio III</v>
      </c>
      <c r="C7" s="15">
        <f>IF(Tabela2[[#This Row],[ TURBINA]]="","",SUMIF(Dados_Brutos!D:D,A7,Dados_Brutos!E:E))</f>
        <v>20</v>
      </c>
      <c r="D7" s="16" cm="1">
        <f t="array" ref="D7">IF(Tabela2[[#This Row],[ TURBINA]]="","",MIN(IF(Dados_Brutos!D:D=Tabela2[[#This Row],[ TURBINA]],Dados_Brutos!A:A)))</f>
        <v>45408</v>
      </c>
      <c r="E7" s="16" cm="1">
        <f t="array" ref="E7">IF(Tabela2[[#This Row],[ TURBINA]]="","",MAX(IF(Tabela1[TURBINA] =Tabela2[[#This Row],[ TURBINA]],Tabela1[DATA INSPECAO])))</f>
        <v>45624</v>
      </c>
      <c r="F7" s="15" t="str">
        <f>IFERROR(INDEX(Dados_Brutos!H:H,MATCH(A7,Dados_Brutos!D:D,0)),"")</f>
        <v>Fora de Operação</v>
      </c>
      <c r="G7" s="15">
        <f>IF(Tabela2[[#This Row],[ TURBINA]]="","",SUMIF(Dados_Brutos!D:D,A7,Dados_Brutos!J:J))</f>
        <v>111</v>
      </c>
      <c r="H7" s="15">
        <f>IF(Tabela2[[#This Row],[ TURBINA]]="","",COUNTIFS(Dados_Brutos!D:D,A7,Dados_Brutos!K:K,"*Baixo*"))</f>
        <v>2</v>
      </c>
      <c r="I7" s="15">
        <f>IF(Tabela2[[#This Row],[ TURBINA]]="","",COUNTIFS(Dados_Brutos!D:D,A7,Dados_Brutos!K:K,"*Médio*"))</f>
        <v>0</v>
      </c>
      <c r="J7" s="15">
        <f>IF(Tabela2[[#This Row],[ TURBINA]]="","",COUNTIFS(Dados_Brutos!D:D,A7,Dados_Brutos!K:K,"*Alto*"))</f>
        <v>1</v>
      </c>
      <c r="K7" s="15" t="str">
        <f>IF(Tabela2[[#This Row],[ TURBINA]]="","",IF(AND(C7&gt;20,J7&gt;3),"🟥 ALTO RISCO",IF(AND(C7&gt;10,I7&gt;1),"🟨 MÉDIO RISCO","🟩 BAIXO RISCO")))</f>
        <v>🟩 BAIXO RISCO</v>
      </c>
      <c r="L7" s="50">
        <f>Tabela2[[#This Row],[ TOTAL IMAS TROCADOS]]*Config!$B$2</f>
        <v>25643.896000000001</v>
      </c>
      <c r="M7" s="48">
        <f t="shared" ca="1" si="4"/>
        <v>28.3</v>
      </c>
      <c r="N7" s="48">
        <f t="shared" si="5"/>
        <v>5.55</v>
      </c>
      <c r="O7" s="16">
        <f t="shared" si="2"/>
        <v>45836</v>
      </c>
      <c r="P7" s="17">
        <f t="shared" ca="1" si="6"/>
        <v>0.80388692579505294</v>
      </c>
    </row>
    <row r="8" spans="1:16" x14ac:dyDescent="0.3">
      <c r="A8" s="15" t="s">
        <v>193</v>
      </c>
      <c r="B8" s="15" t="str">
        <f>IF(Tabela2[[#This Row],[ TURBINA]]="","",_xlfn.XLOOKUP(Tabela2[[#This Row],[ TURBINA]],Tabela1[TURBINA],Tabela1[CLUSTER]))</f>
        <v>Santo Inacio III</v>
      </c>
      <c r="C8" s="15">
        <f>IF(Tabela2[[#This Row],[ TURBINA]]="","",SUMIF(Dados_Brutos!D:D,A8,Dados_Brutos!E:E))</f>
        <v>30</v>
      </c>
      <c r="D8" s="16" cm="1">
        <f t="array" ref="D8">IF(Tabela2[[#This Row],[ TURBINA]]="","",MIN(IF(Dados_Brutos!D:D=Tabela2[[#This Row],[ TURBINA]],Dados_Brutos!A:A)))</f>
        <v>45453</v>
      </c>
      <c r="E8" s="16" cm="1">
        <f t="array" ref="E8">IF(Tabela2[[#This Row],[ TURBINA]]="","",MAX(IF(Tabela1[TURBINA] =Tabela2[[#This Row],[ TURBINA]],Tabela1[DATA INSPECAO])))</f>
        <v>45624</v>
      </c>
      <c r="F8" s="15" t="str">
        <f>IFERROR(INDEX(Dados_Brutos!H:H,MATCH(A8,Dados_Brutos!D:D,0)),"")</f>
        <v>Fora de Operação</v>
      </c>
      <c r="G8" s="15">
        <f>IF(Tabela2[[#This Row],[ TURBINA]]="","",SUMIF(Dados_Brutos!D:D,A8,Dados_Brutos!J:J))</f>
        <v>16</v>
      </c>
      <c r="H8" s="15">
        <f>IF(Tabela2[[#This Row],[ TURBINA]]="","",COUNTIFS(Dados_Brutos!D:D,A8,Dados_Brutos!K:K,"*Baixo*"))</f>
        <v>3</v>
      </c>
      <c r="I8" s="15">
        <f>IF(Tabela2[[#This Row],[ TURBINA]]="","",COUNTIFS(Dados_Brutos!D:D,A8,Dados_Brutos!K:K,"*Médio*"))</f>
        <v>0</v>
      </c>
      <c r="J8" s="15">
        <f>IF(Tabela2[[#This Row],[ TURBINA]]="","",COUNTIFS(Dados_Brutos!D:D,A8,Dados_Brutos!K:K,"*Alto*"))</f>
        <v>0</v>
      </c>
      <c r="K8" s="15" t="str">
        <f>IF(Tabela2[[#This Row],[ TURBINA]]="","",IF(AND(C8&gt;20,J8&gt;3),"🟥 ALTO RISCO",IF(AND(C8&gt;10,I8&gt;1),"🟨 MÉDIO RISCO","🟩 BAIXO RISCO")))</f>
        <v>🟩 BAIXO RISCO</v>
      </c>
      <c r="L8" s="50">
        <f>Tabela2[[#This Row],[ TOTAL IMAS TROCADOS]]*Config!$B$2</f>
        <v>38465.843999999997</v>
      </c>
      <c r="M8" s="48">
        <f t="shared" ca="1" si="4"/>
        <v>17.366666666666667</v>
      </c>
      <c r="N8" s="48">
        <f t="shared" si="5"/>
        <v>0.53333333333333333</v>
      </c>
      <c r="O8" s="16">
        <f t="shared" si="2"/>
        <v>45836</v>
      </c>
      <c r="P8" s="17">
        <f t="shared" ca="1" si="6"/>
        <v>0.96928982725527835</v>
      </c>
    </row>
    <row r="9" spans="1:16" x14ac:dyDescent="0.3">
      <c r="A9" s="15" t="s">
        <v>216</v>
      </c>
      <c r="B9" s="15" t="str">
        <f>IF(Tabela2[[#This Row],[ TURBINA]]="","",_xlfn.XLOOKUP(Tabela2[[#This Row],[ TURBINA]],Tabela1[TURBINA],Tabela1[CLUSTER]))</f>
        <v>São Raimundo</v>
      </c>
      <c r="C9" s="15">
        <f>IF(Tabela2[[#This Row],[ TURBINA]]="","",SUMIF(Dados_Brutos!D:D,A9,Dados_Brutos!E:E))</f>
        <v>3</v>
      </c>
      <c r="D9" s="16" cm="1">
        <f t="array" ref="D9">IF(Tabela2[[#This Row],[ TURBINA]]="","",MIN(IF(Dados_Brutos!D:D=Tabela2[[#This Row],[ TURBINA]],Dados_Brutos!A:A)))</f>
        <v>45441</v>
      </c>
      <c r="E9" s="16" cm="1">
        <f t="array" ref="E9">IF(Tabela2[[#This Row],[ TURBINA]]="","",MAX(IF(Tabela1[TURBINA] =Tabela2[[#This Row],[ TURBINA]],Tabela1[DATA INSPECAO])))</f>
        <v>45784</v>
      </c>
      <c r="F9" s="15" t="str">
        <f>IFERROR(INDEX(Dados_Brutos!H:H,MATCH(A9,Dados_Brutos!D:D,0)),"")</f>
        <v>Em Operação</v>
      </c>
      <c r="G9" s="15">
        <f>IF(Tabela2[[#This Row],[ TURBINA]]="","",SUMIF(Dados_Brutos!D:D,A9,Dados_Brutos!J:J))</f>
        <v>35</v>
      </c>
      <c r="H9" s="15">
        <f>IF(Tabela2[[#This Row],[ TURBINA]]="","",COUNTIFS(Dados_Brutos!D:D,A9,Dados_Brutos!K:K,"*Baixo*"))</f>
        <v>3</v>
      </c>
      <c r="I9" s="15">
        <f>IF(Tabela2[[#This Row],[ TURBINA]]="","",COUNTIFS(Dados_Brutos!D:D,A9,Dados_Brutos!K:K,"*Médio*"))</f>
        <v>1</v>
      </c>
      <c r="J9" s="15">
        <f>IF(Tabela2[[#This Row],[ TURBINA]]="","",COUNTIFS(Dados_Brutos!D:D,A9,Dados_Brutos!K:K,"*Alto*"))</f>
        <v>0</v>
      </c>
      <c r="K9" s="15" t="str">
        <f>IF(Tabela2[[#This Row],[ TURBINA]]="","",IF(AND(C9&gt;20,J9&gt;3),"🟥 ALTO RISCO",IF(AND(C9&gt;10,I9&gt;1),"🟨 MÉDIO RISCO","🟩 BAIXO RISCO")))</f>
        <v>🟩 BAIXO RISCO</v>
      </c>
      <c r="L9" s="50">
        <f>Tabela2[[#This Row],[ TOTAL IMAS TROCADOS]]*Config!$B$2</f>
        <v>3846.5843999999997</v>
      </c>
      <c r="M9" s="48">
        <f t="shared" ca="1" si="4"/>
        <v>177.66666666666666</v>
      </c>
      <c r="N9" s="48">
        <f t="shared" si="5"/>
        <v>11.666666666666666</v>
      </c>
      <c r="O9" s="16">
        <f t="shared" si="2"/>
        <v>45998</v>
      </c>
      <c r="P9" s="17">
        <f t="shared" ca="1" si="6"/>
        <v>0.93433395872420266</v>
      </c>
    </row>
    <row r="10" spans="1:16" x14ac:dyDescent="0.3">
      <c r="A10" s="15" t="s">
        <v>217</v>
      </c>
      <c r="B10" s="15" t="str">
        <f>IF(Tabela2[[#This Row],[ TURBINA]]="","",_xlfn.XLOOKUP(Tabela2[[#This Row],[ TURBINA]],Tabela1[TURBINA],Tabela1[CLUSTER]))</f>
        <v>São Raimundo</v>
      </c>
      <c r="C10" s="15">
        <f>IF(Tabela2[[#This Row],[ TURBINA]]="","",SUMIF(Dados_Brutos!D:D,A10,Dados_Brutos!E:E))</f>
        <v>21</v>
      </c>
      <c r="D10" s="16" cm="1">
        <f t="array" ref="D10">IF(Tabela2[[#This Row],[ TURBINA]]="","",MIN(IF(Dados_Brutos!D:D=Tabela2[[#This Row],[ TURBINA]],Dados_Brutos!A:A)))</f>
        <v>45443</v>
      </c>
      <c r="E10" s="16" cm="1">
        <f t="array" ref="E10">IF(Tabela2[[#This Row],[ TURBINA]]="","",MAX(IF(Tabela1[TURBINA] =Tabela2[[#This Row],[ TURBINA]],Tabela1[DATA INSPECAO])))</f>
        <v>45862</v>
      </c>
      <c r="F10" s="15" t="str">
        <f>IFERROR(INDEX(Dados_Brutos!H:H,MATCH(A10,Dados_Brutos!D:D,0)),"")</f>
        <v>Fora de Operação</v>
      </c>
      <c r="G10" s="15">
        <f>IF(Tabela2[[#This Row],[ TURBINA]]="","",SUMIF(Dados_Brutos!D:D,A10,Dados_Brutos!J:J))</f>
        <v>33</v>
      </c>
      <c r="H10" s="15">
        <f>IF(Tabela2[[#This Row],[ TURBINA]]="","",COUNTIFS(Dados_Brutos!D:D,A10,Dados_Brutos!K:K,"*Baixo*"))</f>
        <v>3</v>
      </c>
      <c r="I10" s="15">
        <f>IF(Tabela2[[#This Row],[ TURBINA]]="","",COUNTIFS(Dados_Brutos!D:D,A10,Dados_Brutos!K:K,"*Médio*"))</f>
        <v>1</v>
      </c>
      <c r="J10" s="15">
        <f>IF(Tabela2[[#This Row],[ TURBINA]]="","",COUNTIFS(Dados_Brutos!D:D,A10,Dados_Brutos!K:K,"*Alto*"))</f>
        <v>0</v>
      </c>
      <c r="K10" s="15" t="str">
        <f>IF(Tabela2[[#This Row],[ TURBINA]]="","",IF(AND(C10&gt;20,J10&gt;3),"🟥 ALTO RISCO",IF(AND(C10&gt;10,I10&gt;1),"🟨 MÉDIO RISCO","🟩 BAIXO RISCO")))</f>
        <v>🟩 BAIXO RISCO</v>
      </c>
      <c r="L10" s="50">
        <f>Tabela2[[#This Row],[ TOTAL IMAS TROCADOS]]*Config!$B$2</f>
        <v>26926.090799999998</v>
      </c>
      <c r="M10" s="48">
        <f t="shared" ca="1" si="4"/>
        <v>25.285714285714285</v>
      </c>
      <c r="N10" s="48">
        <f t="shared" si="5"/>
        <v>1.5714285714285714</v>
      </c>
      <c r="O10" s="16">
        <f t="shared" si="2"/>
        <v>46077</v>
      </c>
      <c r="P10" s="17">
        <f t="shared" ca="1" si="6"/>
        <v>0.93785310734463279</v>
      </c>
    </row>
    <row r="11" spans="1:16" x14ac:dyDescent="0.3">
      <c r="A11" s="33" t="s">
        <v>218</v>
      </c>
      <c r="B11" s="33" t="str">
        <f>IF(Tabela2[[#This Row],[ TURBINA]]="","",_xlfn.XLOOKUP(Tabela2[[#This Row],[ TURBINA]],Tabela1[TURBINA],Tabela1[CLUSTER]))</f>
        <v>São Raimundo</v>
      </c>
      <c r="C11" s="33">
        <f>IF(Tabela2[[#This Row],[ TURBINA]]="","",SUMIF(Dados_Brutos!D:D,A11,Dados_Brutos!E:E))</f>
        <v>0</v>
      </c>
      <c r="D11" s="34" cm="1">
        <f t="array" ref="D11">IF(Tabela2[[#This Row],[ TURBINA]]="","",MIN(IF(Dados_Brutos!D:D=Tabela2[[#This Row],[ TURBINA]],Dados_Brutos!A:A)))</f>
        <v>45446</v>
      </c>
      <c r="E11" s="34" cm="1">
        <f t="array" ref="E11">IF(Tabela2[[#This Row],[ TURBINA]]="","",MAX(IF(Tabela1[TURBINA] =Tabela2[[#This Row],[ TURBINA]],Tabela1[DATA INSPECAO])))</f>
        <v>45624</v>
      </c>
      <c r="F11" s="33" t="str">
        <f>IFERROR(INDEX(Dados_Brutos!H:H,MATCH(A11,Dados_Brutos!D:D,0)),"")</f>
        <v>Em Operação</v>
      </c>
      <c r="G11" s="33">
        <f>IF(Tabela2[[#This Row],[ TURBINA]]="","",SUMIF(Dados_Brutos!D:D,A11,Dados_Brutos!J:J))</f>
        <v>0</v>
      </c>
      <c r="H11" s="33">
        <f>IF(Tabela2[[#This Row],[ TURBINA]]="","",COUNTIFS(Dados_Brutos!D:D,A11,Dados_Brutos!K:K,"*Baixo*"))</f>
        <v>3</v>
      </c>
      <c r="I11" s="33">
        <f>IF(Tabela2[[#This Row],[ TURBINA]]="","",COUNTIFS(Dados_Brutos!D:D,A11,Dados_Brutos!K:K,"*Médio*"))</f>
        <v>0</v>
      </c>
      <c r="J11" s="33">
        <f>IF(Tabela2[[#This Row],[ TURBINA]]="","",COUNTIFS(Dados_Brutos!D:D,A11,Dados_Brutos!K:K,"*Alto*"))</f>
        <v>0</v>
      </c>
      <c r="K11" s="33" t="str">
        <f>IF(Tabela2[[#This Row],[ TURBINA]]="","",IF(AND(C11&gt;20,J11&gt;3),"🟥 ALTO RISCO",IF(AND(C11&gt;10,I11&gt;1),"🟨 MÉDIO RISCO","🟩 BAIXO RISCO")))</f>
        <v>🟩 BAIXO RISCO</v>
      </c>
      <c r="L11" s="67">
        <f>Tabela2[[#This Row],[ TOTAL IMAS TROCADOS]]*Config!$B$2</f>
        <v>0</v>
      </c>
      <c r="M11" s="49" t="str">
        <f t="shared" ca="1" si="4"/>
        <v>Sem dados</v>
      </c>
      <c r="N11" s="49" t="str">
        <f t="shared" si="5"/>
        <v>Sem dados</v>
      </c>
      <c r="O11" s="34">
        <f t="shared" si="2"/>
        <v>45836</v>
      </c>
      <c r="P11" s="36">
        <f t="shared" ca="1" si="6"/>
        <v>1</v>
      </c>
    </row>
    <row r="12" spans="1:16" x14ac:dyDescent="0.3">
      <c r="A12" s="15" t="s">
        <v>219</v>
      </c>
      <c r="B12" s="15" t="str">
        <f>IF(Tabela2[[#This Row],[ TURBINA]]="","",_xlfn.XLOOKUP(Tabela2[[#This Row],[ TURBINA]],Tabela1[TURBINA],Tabela1[CLUSTER]))</f>
        <v>São Raimundo</v>
      </c>
      <c r="C12" s="15">
        <f>IF(Tabela2[[#This Row],[ TURBINA]]="","",SUMIF(Dados_Brutos!D:D,A12,Dados_Brutos!E:E))</f>
        <v>20</v>
      </c>
      <c r="D12" s="16" cm="1">
        <f t="array" ref="D12">IF(Tabela2[[#This Row],[ TURBINA]]="","",MIN(IF(Dados_Brutos!D:D=Tabela2[[#This Row],[ TURBINA]],Dados_Brutos!A:A)))</f>
        <v>45446</v>
      </c>
      <c r="E12" s="16" cm="1">
        <f t="array" ref="E12">IF(Tabela2[[#This Row],[ TURBINA]]="","",MAX(IF(Tabela1[TURBINA] =Tabela2[[#This Row],[ TURBINA]],Tabela1[DATA INSPECAO])))</f>
        <v>45789</v>
      </c>
      <c r="F12" s="15" t="str">
        <f>IFERROR(INDEX(Dados_Brutos!H:H,MATCH(A12,Dados_Brutos!D:D,0)),"")</f>
        <v>Fora de Operação</v>
      </c>
      <c r="G12" s="15">
        <f>IF(Tabela2[[#This Row],[ TURBINA]]="","",SUMIF(Dados_Brutos!D:D,A12,Dados_Brutos!J:J))</f>
        <v>15</v>
      </c>
      <c r="H12" s="15">
        <f>IF(Tabela2[[#This Row],[ TURBINA]]="","",COUNTIFS(Dados_Brutos!D:D,A12,Dados_Brutos!K:K,"*Baixo*"))</f>
        <v>3</v>
      </c>
      <c r="I12" s="15">
        <f>IF(Tabela2[[#This Row],[ TURBINA]]="","",COUNTIFS(Dados_Brutos!D:D,A12,Dados_Brutos!K:K,"*Médio*"))</f>
        <v>0</v>
      </c>
      <c r="J12" s="15">
        <f>IF(Tabela2[[#This Row],[ TURBINA]]="","",COUNTIFS(Dados_Brutos!D:D,A12,Dados_Brutos!K:K,"*Alto*"))</f>
        <v>0</v>
      </c>
      <c r="K12" s="15" t="str">
        <f>IF(Tabela2[[#This Row],[ TURBINA]]="","",IF(AND(C12&gt;20,J12&gt;3),"🟥 ALTO RISCO",IF(AND(C12&gt;10,I12&gt;1),"🟨 MÉDIO RISCO","🟩 BAIXO RISCO")))</f>
        <v>🟩 BAIXO RISCO</v>
      </c>
      <c r="L12" s="50">
        <f>Tabela2[[#This Row],[ TOTAL IMAS TROCADOS]]*Config!$B$2</f>
        <v>25643.896000000001</v>
      </c>
      <c r="M12" s="48">
        <f t="shared" ca="1" si="4"/>
        <v>26.4</v>
      </c>
      <c r="N12" s="48">
        <f t="shared" si="5"/>
        <v>0.75</v>
      </c>
      <c r="O12" s="16">
        <f t="shared" si="2"/>
        <v>46003</v>
      </c>
      <c r="P12" s="17">
        <f t="shared" ca="1" si="6"/>
        <v>0.97159090909090906</v>
      </c>
    </row>
    <row r="13" spans="1:16" x14ac:dyDescent="0.3">
      <c r="A13" s="33" t="s">
        <v>220</v>
      </c>
      <c r="B13" s="33" t="str">
        <f>IF(Tabela2[[#This Row],[ TURBINA]]="","",_xlfn.XLOOKUP(Tabela2[[#This Row],[ TURBINA]],Tabela1[TURBINA],Tabela1[CLUSTER]))</f>
        <v>São Raimundo</v>
      </c>
      <c r="C13" s="33">
        <f>IF(Tabela2[[#This Row],[ TURBINA]]="","",SUMIF(Dados_Brutos!D:D,A13,Dados_Brutos!E:E))</f>
        <v>0</v>
      </c>
      <c r="D13" s="34" cm="1">
        <f t="array" ref="D13">IF(Tabela2[[#This Row],[ TURBINA]]="","",MIN(IF(Dados_Brutos!D:D=Tabela2[[#This Row],[ TURBINA]],Dados_Brutos!A:A)))</f>
        <v>45447</v>
      </c>
      <c r="E13" s="34" cm="1">
        <f t="array" ref="E13">IF(Tabela2[[#This Row],[ TURBINA]]="","",MAX(IF(Tabela1[TURBINA] =Tabela2[[#This Row],[ TURBINA]],Tabela1[DATA INSPECAO])))</f>
        <v>45790</v>
      </c>
      <c r="F13" s="33" t="str">
        <f>IFERROR(INDEX(Dados_Brutos!H:H,MATCH(A13,Dados_Brutos!D:D,0)),"")</f>
        <v>Em Operação</v>
      </c>
      <c r="G13" s="33">
        <f>IF(Tabela2[[#This Row],[ TURBINA]]="","",SUMIF(Dados_Brutos!D:D,A13,Dados_Brutos!J:J))</f>
        <v>0</v>
      </c>
      <c r="H13" s="33">
        <f>IF(Tabela2[[#This Row],[ TURBINA]]="","",COUNTIFS(Dados_Brutos!D:D,A13,Dados_Brutos!K:K,"*Baixo*"))</f>
        <v>3</v>
      </c>
      <c r="I13" s="33">
        <f>IF(Tabela2[[#This Row],[ TURBINA]]="","",COUNTIFS(Dados_Brutos!D:D,A13,Dados_Brutos!K:K,"*Médio*"))</f>
        <v>0</v>
      </c>
      <c r="J13" s="33">
        <f>IF(Tabela2[[#This Row],[ TURBINA]]="","",COUNTIFS(Dados_Brutos!D:D,A13,Dados_Brutos!K:K,"*Alto*"))</f>
        <v>0</v>
      </c>
      <c r="K13" s="33" t="str">
        <f>IF(Tabela2[[#This Row],[ TURBINA]]="","",IF(AND(C13&gt;20,J13&gt;3),"🟥 ALTO RISCO",IF(AND(C13&gt;10,I13&gt;1),"🟨 MÉDIO RISCO","🟩 BAIXO RISCO")))</f>
        <v>🟩 BAIXO RISCO</v>
      </c>
      <c r="L13" s="67">
        <f>Tabela2[[#This Row],[ TOTAL IMAS TROCADOS]]*Config!$B$2</f>
        <v>0</v>
      </c>
      <c r="M13" s="49" t="str">
        <f t="shared" ca="1" si="4"/>
        <v>Sem dados</v>
      </c>
      <c r="N13" s="49" t="str">
        <f t="shared" si="5"/>
        <v>Sem dados</v>
      </c>
      <c r="O13" s="34">
        <f t="shared" si="2"/>
        <v>46004</v>
      </c>
      <c r="P13" s="36">
        <f t="shared" ca="1" si="6"/>
        <v>1</v>
      </c>
    </row>
    <row r="14" spans="1:16" x14ac:dyDescent="0.3">
      <c r="A14" s="15" t="s">
        <v>221</v>
      </c>
      <c r="B14" s="15" t="str">
        <f>IF(Tabela2[[#This Row],[ TURBINA]]="","",_xlfn.XLOOKUP(Tabela2[[#This Row],[ TURBINA]],Tabela1[TURBINA],Tabela1[CLUSTER]))</f>
        <v>São Raimundo</v>
      </c>
      <c r="C14" s="15">
        <f>IF(Tabela2[[#This Row],[ TURBINA]]="","",SUMIF(Dados_Brutos!D:D,A14,Dados_Brutos!E:E))</f>
        <v>50</v>
      </c>
      <c r="D14" s="16" cm="1">
        <f t="array" ref="D14">IF(Tabela2[[#This Row],[ TURBINA]]="","",MIN(IF(Dados_Brutos!D:D=Tabela2[[#This Row],[ TURBINA]],Dados_Brutos!A:A)))</f>
        <v>45447</v>
      </c>
      <c r="E14" s="16" cm="1">
        <f t="array" ref="E14">IF(Tabela2[[#This Row],[ TURBINA]]="","",MAX(IF(Tabela1[TURBINA] =Tabela2[[#This Row],[ TURBINA]],Tabela1[DATA INSPECAO])))</f>
        <v>45791</v>
      </c>
      <c r="F14" s="15" t="str">
        <f>IFERROR(INDEX(Dados_Brutos!H:H,MATCH(A14,Dados_Brutos!D:D,0)),"")</f>
        <v>Fora de Operação</v>
      </c>
      <c r="G14" s="15">
        <f>IF(Tabela2[[#This Row],[ TURBINA]]="","",SUMIF(Dados_Brutos!D:D,A14,Dados_Brutos!J:J))</f>
        <v>21</v>
      </c>
      <c r="H14" s="15">
        <f>IF(Tabela2[[#This Row],[ TURBINA]]="","",COUNTIFS(Dados_Brutos!D:D,A14,Dados_Brutos!K:K,"*Baixo*"))</f>
        <v>3</v>
      </c>
      <c r="I14" s="15">
        <f>IF(Tabela2[[#This Row],[ TURBINA]]="","",COUNTIFS(Dados_Brutos!D:D,A14,Dados_Brutos!K:K,"*Médio*"))</f>
        <v>0</v>
      </c>
      <c r="J14" s="15">
        <f>IF(Tabela2[[#This Row],[ TURBINA]]="","",COUNTIFS(Dados_Brutos!D:D,A14,Dados_Brutos!K:K,"*Alto*"))</f>
        <v>0</v>
      </c>
      <c r="K14" s="15" t="str">
        <f>IF(Tabela2[[#This Row],[ TURBINA]]="","",IF(AND(C14&gt;20,J14&gt;3),"🟥 ALTO RISCO",IF(AND(C14&gt;10,I14&gt;1),"🟨 MÉDIO RISCO","🟩 BAIXO RISCO")))</f>
        <v>🟩 BAIXO RISCO</v>
      </c>
      <c r="L14" s="50">
        <f>Tabela2[[#This Row],[ TOTAL IMAS TROCADOS]]*Config!$B$2</f>
        <v>64109.74</v>
      </c>
      <c r="M14" s="48">
        <f t="shared" ca="1" si="4"/>
        <v>10.54</v>
      </c>
      <c r="N14" s="48">
        <f t="shared" si="5"/>
        <v>0.42</v>
      </c>
      <c r="O14" s="16">
        <f t="shared" si="2"/>
        <v>46005</v>
      </c>
      <c r="P14" s="17">
        <f t="shared" ca="1" si="6"/>
        <v>0.96015180265654654</v>
      </c>
    </row>
    <row r="15" spans="1:16" x14ac:dyDescent="0.3">
      <c r="A15" s="33" t="s">
        <v>182</v>
      </c>
      <c r="B15" s="33" t="str">
        <f>IF(Tabela2[[#This Row],[ TURBINA]]="","",_xlfn.XLOOKUP(Tabela2[[#This Row],[ TURBINA]],Tabela1[TURBINA],Tabela1[CLUSTER]))</f>
        <v>Garrote</v>
      </c>
      <c r="C15" s="33">
        <f>IF(Tabela2[[#This Row],[ TURBINA]]="","",SUMIF(Dados_Brutos!D:D,A15,Dados_Brutos!E:E))</f>
        <v>0</v>
      </c>
      <c r="D15" s="34" cm="1">
        <f t="array" ref="D15">IF(Tabela2[[#This Row],[ TURBINA]]="","",MIN(IF(Dados_Brutos!D:D=Tabela2[[#This Row],[ TURBINA]],Dados_Brutos!A:A)))</f>
        <v>45435</v>
      </c>
      <c r="E15" s="34" cm="1">
        <f t="array" ref="E15">IF(Tabela2[[#This Row],[ TURBINA]]="","",MAX(IF(Tabela1[TURBINA] =Tabela2[[#This Row],[ TURBINA]],Tabela1[DATA INSPECAO])))</f>
        <v>45757</v>
      </c>
      <c r="F15" s="33" t="str">
        <f>IFERROR(INDEX(Dados_Brutos!H:H,MATCH(A15,Dados_Brutos!D:D,0)),"")</f>
        <v>Em Operação</v>
      </c>
      <c r="G15" s="33">
        <f>IF(Tabela2[[#This Row],[ TURBINA]]="","",SUMIF(Dados_Brutos!D:D,A15,Dados_Brutos!J:J))</f>
        <v>0</v>
      </c>
      <c r="H15" s="33">
        <f>IF(Tabela2[[#This Row],[ TURBINA]]="","",COUNTIFS(Dados_Brutos!D:D,A15,Dados_Brutos!K:K,"*Baixo*"))</f>
        <v>3</v>
      </c>
      <c r="I15" s="33">
        <f>IF(Tabela2[[#This Row],[ TURBINA]]="","",COUNTIFS(Dados_Brutos!D:D,A15,Dados_Brutos!K:K,"*Médio*"))</f>
        <v>0</v>
      </c>
      <c r="J15" s="33">
        <f>IF(Tabela2[[#This Row],[ TURBINA]]="","",COUNTIFS(Dados_Brutos!D:D,A15,Dados_Brutos!K:K,"*Alto*"))</f>
        <v>0</v>
      </c>
      <c r="K15" s="33" t="str">
        <f>IF(Tabela2[[#This Row],[ TURBINA]]="","",IF(AND(C15&gt;20,J15&gt;3),"🟥 ALTO RISCO",IF(AND(C15&gt;10,I15&gt;1),"🟨 MÉDIO RISCO","🟩 BAIXO RISCO")))</f>
        <v>🟩 BAIXO RISCO</v>
      </c>
      <c r="L15" s="67">
        <f>Tabela2[[#This Row],[ TOTAL IMAS TROCADOS]]*Config!$B$2</f>
        <v>0</v>
      </c>
      <c r="M15" s="49" t="str">
        <f t="shared" ca="1" si="4"/>
        <v>Sem dados</v>
      </c>
      <c r="N15" s="49" t="str">
        <f t="shared" si="5"/>
        <v>Sem dados</v>
      </c>
      <c r="O15" s="34">
        <f t="shared" si="2"/>
        <v>45971</v>
      </c>
      <c r="P15" s="36">
        <f t="shared" ca="1" si="6"/>
        <v>1</v>
      </c>
    </row>
    <row r="16" spans="1:16" x14ac:dyDescent="0.3">
      <c r="A16" s="15" t="s">
        <v>222</v>
      </c>
      <c r="B16" s="15" t="str">
        <f>IF(Tabela2[[#This Row],[ TURBINA]]="","",_xlfn.XLOOKUP(Tabela2[[#This Row],[ TURBINA]],Tabela1[TURBINA],Tabela1[CLUSTER]))</f>
        <v>São Raimundo</v>
      </c>
      <c r="C16" s="15">
        <f>IF(Tabela2[[#This Row],[ TURBINA]]="","",SUMIF(Dados_Brutos!D:D,A16,Dados_Brutos!E:E))</f>
        <v>50</v>
      </c>
      <c r="D16" s="16" cm="1">
        <f t="array" ref="D16">IF(Tabela2[[#This Row],[ TURBINA]]="","",MIN(IF(Dados_Brutos!D:D=Tabela2[[#This Row],[ TURBINA]],Dados_Brutos!A:A)))</f>
        <v>45440</v>
      </c>
      <c r="E16" s="16" cm="1">
        <f t="array" ref="E16">IF(Tabela2[[#This Row],[ TURBINA]]="","",MAX(IF(Tabela1[TURBINA] =Tabela2[[#This Row],[ TURBINA]],Tabela1[DATA INSPECAO])))</f>
        <v>45777</v>
      </c>
      <c r="F16" s="15" t="str">
        <f>IFERROR(INDEX(Dados_Brutos!H:H,MATCH(A16,Dados_Brutos!D:D,0)),"")</f>
        <v>Fora de Operação</v>
      </c>
      <c r="G16" s="15">
        <f>IF(Tabela2[[#This Row],[ TURBINA]]="","",SUMIF(Dados_Brutos!D:D,A16,Dados_Brutos!J:J))</f>
        <v>25</v>
      </c>
      <c r="H16" s="15">
        <f>IF(Tabela2[[#This Row],[ TURBINA]]="","",COUNTIFS(Dados_Brutos!D:D,A16,Dados_Brutos!K:K,"*Baixo*"))</f>
        <v>3</v>
      </c>
      <c r="I16" s="15">
        <f>IF(Tabela2[[#This Row],[ TURBINA]]="","",COUNTIFS(Dados_Brutos!D:D,A16,Dados_Brutos!K:K,"*Médio*"))</f>
        <v>0</v>
      </c>
      <c r="J16" s="15">
        <f>IF(Tabela2[[#This Row],[ TURBINA]]="","",COUNTIFS(Dados_Brutos!D:D,A16,Dados_Brutos!K:K,"*Alto*"))</f>
        <v>0</v>
      </c>
      <c r="K16" s="15" t="str">
        <f>IF(Tabela2[[#This Row],[ TURBINA]]="","",IF(AND(C16&gt;20,J16&gt;3),"🟥 ALTO RISCO",IF(AND(C16&gt;10,I16&gt;1),"🟨 MÉDIO RISCO","🟩 BAIXO RISCO")))</f>
        <v>🟩 BAIXO RISCO</v>
      </c>
      <c r="L16" s="50">
        <f>Tabela2[[#This Row],[ TOTAL IMAS TROCADOS]]*Config!$B$2</f>
        <v>64109.74</v>
      </c>
      <c r="M16" s="48">
        <f t="shared" ca="1" si="4"/>
        <v>10.68</v>
      </c>
      <c r="N16" s="48">
        <f t="shared" si="5"/>
        <v>0.5</v>
      </c>
      <c r="O16" s="16">
        <f t="shared" si="2"/>
        <v>45991</v>
      </c>
      <c r="P16" s="17">
        <f t="shared" ca="1" si="6"/>
        <v>0.95318352059925093</v>
      </c>
    </row>
    <row r="17" spans="1:16" x14ac:dyDescent="0.3">
      <c r="A17" s="15" t="s">
        <v>223</v>
      </c>
      <c r="B17" s="15" t="str">
        <f>IF(Tabela2[[#This Row],[ TURBINA]]="","",_xlfn.XLOOKUP(Tabela2[[#This Row],[ TURBINA]],Tabela1[TURBINA],Tabela1[CLUSTER]))</f>
        <v>São Raimundo</v>
      </c>
      <c r="C17" s="15">
        <f>IF(Tabela2[[#This Row],[ TURBINA]]="","",SUMIF(Dados_Brutos!D:D,A17,Dados_Brutos!E:E))</f>
        <v>50</v>
      </c>
      <c r="D17" s="16" cm="1">
        <f t="array" ref="D17">IF(Tabela2[[#This Row],[ TURBINA]]="","",MIN(IF(Dados_Brutos!D:D=Tabela2[[#This Row],[ TURBINA]],Dados_Brutos!A:A)))</f>
        <v>45420</v>
      </c>
      <c r="E17" s="16" cm="1">
        <f t="array" ref="E17">IF(Tabela2[[#This Row],[ TURBINA]]="","",MAX(IF(Tabela1[TURBINA] =Tabela2[[#This Row],[ TURBINA]],Tabela1[DATA INSPECAO])))</f>
        <v>45779</v>
      </c>
      <c r="F17" s="15" t="str">
        <f>IFERROR(INDEX(Dados_Brutos!H:H,MATCH(A17,Dados_Brutos!D:D,0)),"")</f>
        <v>Fora de Operação</v>
      </c>
      <c r="G17" s="15">
        <f>IF(Tabela2[[#This Row],[ TURBINA]]="","",SUMIF(Dados_Brutos!D:D,A17,Dados_Brutos!J:J))</f>
        <v>58</v>
      </c>
      <c r="H17" s="15">
        <f>IF(Tabela2[[#This Row],[ TURBINA]]="","",COUNTIFS(Dados_Brutos!D:D,A17,Dados_Brutos!K:K,"*Baixo*"))</f>
        <v>2</v>
      </c>
      <c r="I17" s="15">
        <f>IF(Tabela2[[#This Row],[ TURBINA]]="","",COUNTIFS(Dados_Brutos!D:D,A17,Dados_Brutos!K:K,"*Médio*"))</f>
        <v>0</v>
      </c>
      <c r="J17" s="15">
        <f>IF(Tabela2[[#This Row],[ TURBINA]]="","",COUNTIFS(Dados_Brutos!D:D,A17,Dados_Brutos!K:K,"*Alto*"))</f>
        <v>1</v>
      </c>
      <c r="K17" s="15" t="str">
        <f>IF(Tabela2[[#This Row],[ TURBINA]]="","",IF(AND(C17&gt;20,J17&gt;3),"🟥 ALTO RISCO",IF(AND(C17&gt;10,I17&gt;1),"🟨 MÉDIO RISCO","🟩 BAIXO RISCO")))</f>
        <v>🟩 BAIXO RISCO</v>
      </c>
      <c r="L17" s="50">
        <f>Tabela2[[#This Row],[ TOTAL IMAS TROCADOS]]*Config!$B$2</f>
        <v>64109.74</v>
      </c>
      <c r="M17" s="48">
        <f t="shared" ca="1" si="4"/>
        <v>11.08</v>
      </c>
      <c r="N17" s="48">
        <f t="shared" si="5"/>
        <v>1.1599999999999999</v>
      </c>
      <c r="O17" s="16">
        <f t="shared" si="2"/>
        <v>45993</v>
      </c>
      <c r="P17" s="17">
        <f t="shared" ca="1" si="6"/>
        <v>0.89530685920577613</v>
      </c>
    </row>
    <row r="18" spans="1:16" x14ac:dyDescent="0.3">
      <c r="A18" s="15" t="s">
        <v>224</v>
      </c>
      <c r="B18" s="15" t="str">
        <f>IF(Tabela2[[#This Row],[ TURBINA]]="","",_xlfn.XLOOKUP(Tabela2[[#This Row],[ TURBINA]],Tabela1[TURBINA],Tabela1[CLUSTER]))</f>
        <v>São Raimundo</v>
      </c>
      <c r="C18" s="15">
        <f>IF(Tabela2[[#This Row],[ TURBINA]]="","",SUMIF(Dados_Brutos!D:D,A18,Dados_Brutos!E:E))</f>
        <v>0</v>
      </c>
      <c r="D18" s="16" cm="1">
        <f t="array" ref="D18">IF(Tabela2[[#This Row],[ TURBINA]]="","",MIN(IF(Dados_Brutos!D:D=Tabela2[[#This Row],[ TURBINA]],Dados_Brutos!A:A)))</f>
        <v>45439</v>
      </c>
      <c r="E18" s="16" cm="1">
        <f t="array" ref="E18">IF(Tabela2[[#This Row],[ TURBINA]]="","",MAX(IF(Tabela1[TURBINA] =Tabela2[[#This Row],[ TURBINA]],Tabela1[DATA INSPECAO])))</f>
        <v>45776</v>
      </c>
      <c r="F18" s="15" t="str">
        <f>IFERROR(INDEX(Dados_Brutos!H:H,MATCH(A18,Dados_Brutos!D:D,0)),"")</f>
        <v>Em Operação</v>
      </c>
      <c r="G18" s="15">
        <f>IF(Tabela2[[#This Row],[ TURBINA]]="","",SUMIF(Dados_Brutos!D:D,A18,Dados_Brutos!J:J))</f>
        <v>0</v>
      </c>
      <c r="H18" s="15">
        <f>IF(Tabela2[[#This Row],[ TURBINA]]="","",COUNTIFS(Dados_Brutos!D:D,A18,Dados_Brutos!K:K,"*Baixo*"))</f>
        <v>3</v>
      </c>
      <c r="I18" s="15">
        <f>IF(Tabela2[[#This Row],[ TURBINA]]="","",COUNTIFS(Dados_Brutos!D:D,A18,Dados_Brutos!K:K,"*Médio*"))</f>
        <v>0</v>
      </c>
      <c r="J18" s="15">
        <f>IF(Tabela2[[#This Row],[ TURBINA]]="","",COUNTIFS(Dados_Brutos!D:D,A18,Dados_Brutos!K:K,"*Alto*"))</f>
        <v>0</v>
      </c>
      <c r="K18" s="15" t="str">
        <f>IF(Tabela2[[#This Row],[ TURBINA]]="","",IF(AND(C18&gt;20,J18&gt;3),"🟥 ALTO RISCO",IF(AND(C18&gt;10,I18&gt;1),"🟨 MÉDIO RISCO","🟩 BAIXO RISCO")))</f>
        <v>🟩 BAIXO RISCO</v>
      </c>
      <c r="L18" s="50">
        <f>Tabela2[[#This Row],[ TOTAL IMAS TROCADOS]]*Config!$B$2</f>
        <v>0</v>
      </c>
      <c r="M18" s="48" t="str">
        <f t="shared" ca="1" si="4"/>
        <v>Sem dados</v>
      </c>
      <c r="N18" s="48" t="str">
        <f t="shared" si="5"/>
        <v>Sem dados</v>
      </c>
      <c r="O18" s="16">
        <f t="shared" si="2"/>
        <v>45990</v>
      </c>
      <c r="P18" s="17">
        <f t="shared" ca="1" si="6"/>
        <v>1</v>
      </c>
    </row>
    <row r="19" spans="1:16" x14ac:dyDescent="0.3">
      <c r="A19" s="15" t="s">
        <v>225</v>
      </c>
      <c r="B19" s="15" t="str">
        <f>IF(Tabela2[[#This Row],[ TURBINA]]="","",_xlfn.XLOOKUP(Tabela2[[#This Row],[ TURBINA]],Tabela1[TURBINA],Tabela1[CLUSTER]))</f>
        <v>São Raimundo</v>
      </c>
      <c r="C19" s="15">
        <f>IF(Tabela2[[#This Row],[ TURBINA]]="","",SUMIF(Dados_Brutos!D:D,A19,Dados_Brutos!E:E))</f>
        <v>0</v>
      </c>
      <c r="D19" s="16" cm="1">
        <f t="array" ref="D19">IF(Tabela2[[#This Row],[ TURBINA]]="","",MIN(IF(Dados_Brutos!D:D=Tabela2[[#This Row],[ TURBINA]],Dados_Brutos!A:A)))</f>
        <v>45421</v>
      </c>
      <c r="E19" s="16" cm="1">
        <f t="array" ref="E19">IF(Tabela2[[#This Row],[ TURBINA]]="","",MAX(IF(Tabela1[TURBINA] =Tabela2[[#This Row],[ TURBINA]],Tabela1[DATA INSPECAO])))</f>
        <v>45782</v>
      </c>
      <c r="F19" s="15" t="str">
        <f>IFERROR(INDEX(Dados_Brutos!H:H,MATCH(A19,Dados_Brutos!D:D,0)),"")</f>
        <v>Em Operação</v>
      </c>
      <c r="G19" s="15">
        <f>IF(Tabela2[[#This Row],[ TURBINA]]="","",SUMIF(Dados_Brutos!D:D,A19,Dados_Brutos!J:J))</f>
        <v>0</v>
      </c>
      <c r="H19" s="15">
        <f>IF(Tabela2[[#This Row],[ TURBINA]]="","",COUNTIFS(Dados_Brutos!D:D,A19,Dados_Brutos!K:K,"*Baixo*"))</f>
        <v>3</v>
      </c>
      <c r="I19" s="15">
        <f>IF(Tabela2[[#This Row],[ TURBINA]]="","",COUNTIFS(Dados_Brutos!D:D,A19,Dados_Brutos!K:K,"*Médio*"))</f>
        <v>0</v>
      </c>
      <c r="J19" s="15">
        <f>IF(Tabela2[[#This Row],[ TURBINA]]="","",COUNTIFS(Dados_Brutos!D:D,A19,Dados_Brutos!K:K,"*Alto*"))</f>
        <v>0</v>
      </c>
      <c r="K19" s="15" t="str">
        <f>IF(Tabela2[[#This Row],[ TURBINA]]="","",IF(AND(C19&gt;20,J19&gt;3),"🟥 ALTO RISCO",IF(AND(C19&gt;10,I19&gt;1),"🟨 MÉDIO RISCO","🟩 BAIXO RISCO")))</f>
        <v>🟩 BAIXO RISCO</v>
      </c>
      <c r="L19" s="50">
        <f>Tabela2[[#This Row],[ TOTAL IMAS TROCADOS]]*Config!$B$2</f>
        <v>0</v>
      </c>
      <c r="M19" s="48" t="str">
        <f t="shared" ca="1" si="4"/>
        <v>Sem dados</v>
      </c>
      <c r="N19" s="48" t="str">
        <f t="shared" si="5"/>
        <v>Sem dados</v>
      </c>
      <c r="O19" s="16">
        <f t="shared" si="2"/>
        <v>45996</v>
      </c>
      <c r="P19" s="17">
        <f t="shared" ca="1" si="6"/>
        <v>1</v>
      </c>
    </row>
    <row r="20" spans="1:16" x14ac:dyDescent="0.3">
      <c r="A20" s="15" t="s">
        <v>226</v>
      </c>
      <c r="B20" s="15" t="str">
        <f>IF(Tabela2[[#This Row],[ TURBINA]]="","",_xlfn.XLOOKUP(Tabela2[[#This Row],[ TURBINA]],Tabela1[TURBINA],Tabela1[CLUSTER]))</f>
        <v>São Raimundo</v>
      </c>
      <c r="C20" s="15">
        <f>IF(Tabela2[[#This Row],[ TURBINA]]="","",SUMIF(Dados_Brutos!D:D,A20,Dados_Brutos!E:E))</f>
        <v>0</v>
      </c>
      <c r="D20" s="16" cm="1">
        <f t="array" ref="D20">IF(Tabela2[[#This Row],[ TURBINA]]="","",MIN(IF(Dados_Brutos!D:D=Tabela2[[#This Row],[ TURBINA]],Dados_Brutos!A:A)))</f>
        <v>45441</v>
      </c>
      <c r="E20" s="16" cm="1">
        <f t="array" ref="E20">IF(Tabela2[[#This Row],[ TURBINA]]="","",MAX(IF(Tabela1[TURBINA] =Tabela2[[#This Row],[ TURBINA]],Tabela1[DATA INSPECAO])))</f>
        <v>45783</v>
      </c>
      <c r="F20" s="15" t="str">
        <f>IFERROR(INDEX(Dados_Brutos!H:H,MATCH(A20,Dados_Brutos!D:D,0)),"")</f>
        <v>Em Operação</v>
      </c>
      <c r="G20" s="15">
        <f>IF(Tabela2[[#This Row],[ TURBINA]]="","",SUMIF(Dados_Brutos!D:D,A20,Dados_Brutos!J:J))</f>
        <v>0</v>
      </c>
      <c r="H20" s="15">
        <f>IF(Tabela2[[#This Row],[ TURBINA]]="","",COUNTIFS(Dados_Brutos!D:D,A20,Dados_Brutos!K:K,"*Baixo*"))</f>
        <v>3</v>
      </c>
      <c r="I20" s="15">
        <f>IF(Tabela2[[#This Row],[ TURBINA]]="","",COUNTIFS(Dados_Brutos!D:D,A20,Dados_Brutos!K:K,"*Médio*"))</f>
        <v>0</v>
      </c>
      <c r="J20" s="15">
        <f>IF(Tabela2[[#This Row],[ TURBINA]]="","",COUNTIFS(Dados_Brutos!D:D,A20,Dados_Brutos!K:K,"*Alto*"))</f>
        <v>0</v>
      </c>
      <c r="K20" s="15" t="str">
        <f>IF(Tabela2[[#This Row],[ TURBINA]]="","",IF(AND(C20&gt;20,J20&gt;3),"🟥 ALTO RISCO",IF(AND(C20&gt;10,I20&gt;1),"🟨 MÉDIO RISCO","🟩 BAIXO RISCO")))</f>
        <v>🟩 BAIXO RISCO</v>
      </c>
      <c r="L20" s="50">
        <f>Tabela2[[#This Row],[ TOTAL IMAS TROCADOS]]*Config!$B$2</f>
        <v>0</v>
      </c>
      <c r="M20" s="48" t="str">
        <f t="shared" ca="1" si="4"/>
        <v>Sem dados</v>
      </c>
      <c r="N20" s="48" t="str">
        <f t="shared" si="5"/>
        <v>Sem dados</v>
      </c>
      <c r="O20" s="16">
        <f t="shared" si="2"/>
        <v>45997</v>
      </c>
      <c r="P20" s="17">
        <f t="shared" ca="1" si="6"/>
        <v>1</v>
      </c>
    </row>
    <row r="21" spans="1:16" x14ac:dyDescent="0.3">
      <c r="A21" s="15" t="s">
        <v>194</v>
      </c>
      <c r="B21" s="15" t="str">
        <f>IF(Tabela2[[#This Row],[ TURBINA]]="","",_xlfn.XLOOKUP(Tabela2[[#This Row],[ TURBINA]],Tabela1[TURBINA],Tabela1[CLUSTER]))</f>
        <v>Santo Inacio III</v>
      </c>
      <c r="C21" s="15">
        <f>IF(Tabela2[[#This Row],[ TURBINA]]="","",SUMIF(Dados_Brutos!D:D,A21,Dados_Brutos!E:E))</f>
        <v>0</v>
      </c>
      <c r="D21" s="16" cm="1">
        <f t="array" ref="D21">IF(Tabela2[[#This Row],[ TURBINA]]="","",MIN(IF(Dados_Brutos!D:D=Tabela2[[#This Row],[ TURBINA]],Dados_Brutos!A:A)))</f>
        <v>45449</v>
      </c>
      <c r="E21" s="16" cm="1">
        <f t="array" ref="E21">IF(Tabela2[[#This Row],[ TURBINA]]="","",MAX(IF(Tabela1[TURBINA] =Tabela2[[#This Row],[ TURBINA]],Tabela1[DATA INSPECAO])))</f>
        <v>45741</v>
      </c>
      <c r="F21" s="15" t="str">
        <f>IFERROR(INDEX(Dados_Brutos!H:H,MATCH(A21,Dados_Brutos!D:D,0)),"")</f>
        <v>Em Operação</v>
      </c>
      <c r="G21" s="15">
        <f>IF(Tabela2[[#This Row],[ TURBINA]]="","",SUMIF(Dados_Brutos!D:D,A21,Dados_Brutos!J:J))</f>
        <v>0</v>
      </c>
      <c r="H21" s="15">
        <f>IF(Tabela2[[#This Row],[ TURBINA]]="","",COUNTIFS(Dados_Brutos!D:D,A21,Dados_Brutos!K:K,"*Baixo*"))</f>
        <v>3</v>
      </c>
      <c r="I21" s="15">
        <f>IF(Tabela2[[#This Row],[ TURBINA]]="","",COUNTIFS(Dados_Brutos!D:D,A21,Dados_Brutos!K:K,"*Médio*"))</f>
        <v>0</v>
      </c>
      <c r="J21" s="15">
        <f>IF(Tabela2[[#This Row],[ TURBINA]]="","",COUNTIFS(Dados_Brutos!D:D,A21,Dados_Brutos!K:K,"*Alto*"))</f>
        <v>0</v>
      </c>
      <c r="K21" s="15" t="str">
        <f>IF(Tabela2[[#This Row],[ TURBINA]]="","",IF(AND(C21&gt;20,J21&gt;3),"🟥 ALTO RISCO",IF(AND(C21&gt;10,I21&gt;1),"🟨 MÉDIO RISCO","🟩 BAIXO RISCO")))</f>
        <v>🟩 BAIXO RISCO</v>
      </c>
      <c r="L21" s="50">
        <f>Tabela2[[#This Row],[ TOTAL IMAS TROCADOS]]*Config!$B$2</f>
        <v>0</v>
      </c>
      <c r="M21" s="48" t="str">
        <f t="shared" ca="1" si="4"/>
        <v>Sem dados</v>
      </c>
      <c r="N21" s="48" t="str">
        <f t="shared" si="5"/>
        <v>Sem dados</v>
      </c>
      <c r="O21" s="16">
        <f t="shared" si="2"/>
        <v>45955</v>
      </c>
      <c r="P21" s="17">
        <f t="shared" ca="1" si="6"/>
        <v>1</v>
      </c>
    </row>
    <row r="22" spans="1:16" x14ac:dyDescent="0.3">
      <c r="A22" s="15" t="s">
        <v>195</v>
      </c>
      <c r="B22" s="15" t="str">
        <f>IF(Tabela2[[#This Row],[ TURBINA]]="","",_xlfn.XLOOKUP(Tabela2[[#This Row],[ TURBINA]],Tabela1[TURBINA],Tabela1[CLUSTER]))</f>
        <v>Santo Inacio III</v>
      </c>
      <c r="C22" s="15">
        <f>IF(Tabela2[[#This Row],[ TURBINA]]="","",SUMIF(Dados_Brutos!D:D,A22,Dados_Brutos!E:E))</f>
        <v>0</v>
      </c>
      <c r="D22" s="16" cm="1">
        <f t="array" ref="D22">IF(Tabela2[[#This Row],[ TURBINA]]="","",MIN(IF(Dados_Brutos!D:D=Tabela2[[#This Row],[ TURBINA]],Dados_Brutos!A:A)))</f>
        <v>45450</v>
      </c>
      <c r="E22" s="16" cm="1">
        <f t="array" ref="E22">IF(Tabela2[[#This Row],[ TURBINA]]="","",MAX(IF(Tabela1[TURBINA] =Tabela2[[#This Row],[ TURBINA]],Tabela1[DATA INSPECAO])))</f>
        <v>45610</v>
      </c>
      <c r="F22" s="15" t="str">
        <f>IFERROR(INDEX(Dados_Brutos!H:H,MATCH(A22,Dados_Brutos!D:D,0)),"")</f>
        <v>Em Operação</v>
      </c>
      <c r="G22" s="15">
        <f>IF(Tabela2[[#This Row],[ TURBINA]]="","",SUMIF(Dados_Brutos!D:D,A22,Dados_Brutos!J:J))</f>
        <v>0</v>
      </c>
      <c r="H22" s="15">
        <f>IF(Tabela2[[#This Row],[ TURBINA]]="","",COUNTIFS(Dados_Brutos!D:D,A22,Dados_Brutos!K:K,"*Baixo*"))</f>
        <v>3</v>
      </c>
      <c r="I22" s="15">
        <f>IF(Tabela2[[#This Row],[ TURBINA]]="","",COUNTIFS(Dados_Brutos!D:D,A22,Dados_Brutos!K:K,"*Médio*"))</f>
        <v>0</v>
      </c>
      <c r="J22" s="15">
        <f>IF(Tabela2[[#This Row],[ TURBINA]]="","",COUNTIFS(Dados_Brutos!D:D,A22,Dados_Brutos!K:K,"*Alto*"))</f>
        <v>0</v>
      </c>
      <c r="K22" s="15" t="str">
        <f>IF(Tabela2[[#This Row],[ TURBINA]]="","",IF(AND(C22&gt;20,J22&gt;3),"🟥 ALTO RISCO",IF(AND(C22&gt;10,I22&gt;1),"🟨 MÉDIO RISCO","🟩 BAIXO RISCO")))</f>
        <v>🟩 BAIXO RISCO</v>
      </c>
      <c r="L22" s="50">
        <f>Tabela2[[#This Row],[ TOTAL IMAS TROCADOS]]*Config!$B$2</f>
        <v>0</v>
      </c>
      <c r="M22" s="48" t="str">
        <f t="shared" ca="1" si="4"/>
        <v>Sem dados</v>
      </c>
      <c r="N22" s="48" t="str">
        <f t="shared" si="5"/>
        <v>Sem dados</v>
      </c>
      <c r="O22" s="16">
        <f t="shared" si="2"/>
        <v>45822</v>
      </c>
      <c r="P22" s="17">
        <f t="shared" ca="1" si="6"/>
        <v>1</v>
      </c>
    </row>
    <row r="23" spans="1:16" x14ac:dyDescent="0.3">
      <c r="A23" s="15" t="s">
        <v>196</v>
      </c>
      <c r="B23" s="15" t="str">
        <f>IF(Tabela2[[#This Row],[ TURBINA]]="","",_xlfn.XLOOKUP(Tabela2[[#This Row],[ TURBINA]],Tabela1[TURBINA],Tabela1[CLUSTER]))</f>
        <v>Santo Inacio III</v>
      </c>
      <c r="C23" s="15">
        <f>IF(Tabela2[[#This Row],[ TURBINA]]="","",SUMIF(Dados_Brutos!D:D,A23,Dados_Brutos!E:E))</f>
        <v>0</v>
      </c>
      <c r="D23" s="16" cm="1">
        <f t="array" ref="D23">IF(Tabela2[[#This Row],[ TURBINA]]="","",MIN(IF(Dados_Brutos!D:D=Tabela2[[#This Row],[ TURBINA]],Dados_Brutos!A:A)))</f>
        <v>45623</v>
      </c>
      <c r="E23" s="16" cm="1">
        <f t="array" ref="E23">IF(Tabela2[[#This Row],[ TURBINA]]="","",MAX(IF(Tabela1[TURBINA] =Tabela2[[#This Row],[ TURBINA]],Tabela1[DATA INSPECAO])))</f>
        <v>45792</v>
      </c>
      <c r="F23" s="15" t="str">
        <f>IFERROR(INDEX(Dados_Brutos!H:H,MATCH(A23,Dados_Brutos!D:D,0)),"")</f>
        <v>Em Operação</v>
      </c>
      <c r="G23" s="15">
        <f>IF(Tabela2[[#This Row],[ TURBINA]]="","",SUMIF(Dados_Brutos!D:D,A23,Dados_Brutos!J:J))</f>
        <v>0</v>
      </c>
      <c r="H23" s="15">
        <f>IF(Tabela2[[#This Row],[ TURBINA]]="","",COUNTIFS(Dados_Brutos!D:D,A23,Dados_Brutos!K:K,"*Baixo*"))</f>
        <v>3</v>
      </c>
      <c r="I23" s="15">
        <f>IF(Tabela2[[#This Row],[ TURBINA]]="","",COUNTIFS(Dados_Brutos!D:D,A23,Dados_Brutos!K:K,"*Médio*"))</f>
        <v>0</v>
      </c>
      <c r="J23" s="15">
        <f>IF(Tabela2[[#This Row],[ TURBINA]]="","",COUNTIFS(Dados_Brutos!D:D,A23,Dados_Brutos!K:K,"*Alto*"))</f>
        <v>0</v>
      </c>
      <c r="K23" s="15" t="str">
        <f>IF(Tabela2[[#This Row],[ TURBINA]]="","",IF(AND(C23&gt;20,J23&gt;3),"🟥 ALTO RISCO",IF(AND(C23&gt;10,I23&gt;1),"🟨 MÉDIO RISCO","🟩 BAIXO RISCO")))</f>
        <v>🟩 BAIXO RISCO</v>
      </c>
      <c r="L23" s="50">
        <f>Tabela2[[#This Row],[ TOTAL IMAS TROCADOS]]*Config!$B$2</f>
        <v>0</v>
      </c>
      <c r="M23" s="48" t="str">
        <f t="shared" ref="M23:M48" ca="1" si="7">IF(C23&gt;0, (TODAY()-D23)/C23, "Sem dados")</f>
        <v>Sem dados</v>
      </c>
      <c r="N23" s="48" t="str">
        <f t="shared" ref="N23:N48" si="8">IF(C23&gt;0, G23/C23, "Sem dados")</f>
        <v>Sem dados</v>
      </c>
      <c r="O23" s="16">
        <f t="shared" si="2"/>
        <v>46006</v>
      </c>
      <c r="P23" s="17">
        <f t="shared" ref="P23:P48" ca="1" si="9">IFERROR(1-(G23/(TODAY()-D23)),"")</f>
        <v>1</v>
      </c>
    </row>
    <row r="24" spans="1:16" x14ac:dyDescent="0.3">
      <c r="A24" s="33" t="s">
        <v>197</v>
      </c>
      <c r="B24" s="33" t="str">
        <f>IF(Tabela2[[#This Row],[ TURBINA]]="","",_xlfn.XLOOKUP(Tabela2[[#This Row],[ TURBINA]],Tabela1[TURBINA],Tabela1[CLUSTER]))</f>
        <v>Santo Inacio III</v>
      </c>
      <c r="C24" s="33">
        <f>IF(Tabela2[[#This Row],[ TURBINA]]="","",SUMIF(Dados_Brutos!D:D,A24,Dados_Brutos!E:E))</f>
        <v>0</v>
      </c>
      <c r="D24" s="34" cm="1">
        <f t="array" ref="D24">IF(Tabela2[[#This Row],[ TURBINA]]="","",MIN(IF(Dados_Brutos!D:D=Tabela2[[#This Row],[ TURBINA]],Dados_Brutos!A:A)))</f>
        <v>45450</v>
      </c>
      <c r="E24" s="34" cm="1">
        <f t="array" ref="E24">IF(Tabela2[[#This Row],[ TURBINA]]="","",MAX(IF(Tabela1[TURBINA] =Tabela2[[#This Row],[ TURBINA]],Tabela1[DATA INSPECAO])))</f>
        <v>45972</v>
      </c>
      <c r="F24" s="33" t="str">
        <f>IFERROR(INDEX(Dados_Brutos!H:H,MATCH(A24,Dados_Brutos!D:D,0)),"")</f>
        <v>Em Operação</v>
      </c>
      <c r="G24" s="33">
        <f>IF(Tabela2[[#This Row],[ TURBINA]]="","",SUMIF(Dados_Brutos!D:D,A24,Dados_Brutos!J:J))</f>
        <v>0</v>
      </c>
      <c r="H24" s="33">
        <f>IF(Tabela2[[#This Row],[ TURBINA]]="","",COUNTIFS(Dados_Brutos!D:D,A24,Dados_Brutos!K:K,"*Baixo*"))</f>
        <v>1</v>
      </c>
      <c r="I24" s="33">
        <f>IF(Tabela2[[#This Row],[ TURBINA]]="","",COUNTIFS(Dados_Brutos!D:D,A24,Dados_Brutos!K:K,"*Médio*"))</f>
        <v>3</v>
      </c>
      <c r="J24" s="33">
        <f>IF(Tabela2[[#This Row],[ TURBINA]]="","",COUNTIFS(Dados_Brutos!D:D,A24,Dados_Brutos!K:K,"*Alto*"))</f>
        <v>0</v>
      </c>
      <c r="K24" s="33" t="str">
        <f>IF(Tabela2[[#This Row],[ TURBINA]]="","",IF(AND(C24&gt;20,J24&gt;3),"🟥 ALTO RISCO",IF(AND(C24&gt;10,I24&gt;1),"🟨 MÉDIO RISCO","🟩 BAIXO RISCO")))</f>
        <v>🟩 BAIXO RISCO</v>
      </c>
      <c r="L24" s="67">
        <f>Tabela2[[#This Row],[ TOTAL IMAS TROCADOS]]*Config!$B$2</f>
        <v>0</v>
      </c>
      <c r="M24" s="49" t="str">
        <f t="shared" ca="1" si="7"/>
        <v>Sem dados</v>
      </c>
      <c r="N24" s="49" t="str">
        <f t="shared" si="8"/>
        <v>Sem dados</v>
      </c>
      <c r="O24" s="34">
        <f t="shared" si="2"/>
        <v>46184</v>
      </c>
      <c r="P24" s="36">
        <f t="shared" ca="1" si="9"/>
        <v>1</v>
      </c>
    </row>
    <row r="25" spans="1:16" x14ac:dyDescent="0.3">
      <c r="A25" s="15" t="s">
        <v>198</v>
      </c>
      <c r="B25" s="15" t="str">
        <f>IF(Tabela2[[#This Row],[ TURBINA]]="","",_xlfn.XLOOKUP(Tabela2[[#This Row],[ TURBINA]],Tabela1[TURBINA],Tabela1[CLUSTER]))</f>
        <v>Santo Inacio III</v>
      </c>
      <c r="C25" s="15">
        <f>IF(Tabela2[[#This Row],[ TURBINA]]="","",SUMIF(Dados_Brutos!D:D,A25,Dados_Brutos!E:E))</f>
        <v>40</v>
      </c>
      <c r="D25" s="16" cm="1">
        <f t="array" ref="D25">IF(Tabela2[[#This Row],[ TURBINA]]="","",MIN(IF(Dados_Brutos!D:D=Tabela2[[#This Row],[ TURBINA]],Dados_Brutos!A:A)))</f>
        <v>45448</v>
      </c>
      <c r="E25" s="16" cm="1">
        <f t="array" ref="E25">IF(Tabela2[[#This Row],[ TURBINA]]="","",MAX(IF(Tabela1[TURBINA] =Tabela2[[#This Row],[ TURBINA]],Tabela1[DATA INSPECAO])))</f>
        <v>45630</v>
      </c>
      <c r="F25" s="15" t="str">
        <f>IFERROR(INDEX(Dados_Brutos!H:H,MATCH(A25,Dados_Brutos!D:D,0)),"")</f>
        <v>Fora de Operação</v>
      </c>
      <c r="G25" s="15">
        <f>IF(Tabela2[[#This Row],[ TURBINA]]="","",SUMIF(Dados_Brutos!D:D,A25,Dados_Brutos!J:J))</f>
        <v>15</v>
      </c>
      <c r="H25" s="15">
        <f>IF(Tabela2[[#This Row],[ TURBINA]]="","",COUNTIFS(Dados_Brutos!D:D,A25,Dados_Brutos!K:K,"*Baixo*"))</f>
        <v>3</v>
      </c>
      <c r="I25" s="15">
        <f>IF(Tabela2[[#This Row],[ TURBINA]]="","",COUNTIFS(Dados_Brutos!D:D,A25,Dados_Brutos!K:K,"*Médio*"))</f>
        <v>0</v>
      </c>
      <c r="J25" s="15">
        <f>IF(Tabela2[[#This Row],[ TURBINA]]="","",COUNTIFS(Dados_Brutos!D:D,A25,Dados_Brutos!K:K,"*Alto*"))</f>
        <v>0</v>
      </c>
      <c r="K25" s="15" t="str">
        <f>IF(Tabela2[[#This Row],[ TURBINA]]="","",IF(AND(C25&gt;20,J25&gt;3),"🟥 ALTO RISCO",IF(AND(C25&gt;10,I25&gt;1),"🟨 MÉDIO RISCO","🟩 BAIXO RISCO")))</f>
        <v>🟩 BAIXO RISCO</v>
      </c>
      <c r="L25" s="50">
        <f>Tabela2[[#This Row],[ TOTAL IMAS TROCADOS]]*Config!$B$2</f>
        <v>51287.792000000001</v>
      </c>
      <c r="M25" s="48">
        <f t="shared" ca="1" si="7"/>
        <v>13.15</v>
      </c>
      <c r="N25" s="48">
        <f t="shared" si="8"/>
        <v>0.375</v>
      </c>
      <c r="O25" s="16">
        <f t="shared" si="2"/>
        <v>45842</v>
      </c>
      <c r="P25" s="17">
        <f t="shared" ca="1" si="9"/>
        <v>0.97148288973384034</v>
      </c>
    </row>
    <row r="26" spans="1:16" x14ac:dyDescent="0.3">
      <c r="A26" s="15" t="s">
        <v>199</v>
      </c>
      <c r="B26" s="15" t="str">
        <f>IF(Tabela2[[#This Row],[ TURBINA]]="","",_xlfn.XLOOKUP(Tabela2[[#This Row],[ TURBINA]],Tabela1[TURBINA],Tabela1[CLUSTER]))</f>
        <v>Santo Inacio III</v>
      </c>
      <c r="C26" s="15">
        <f>IF(Tabela2[[#This Row],[ TURBINA]]="","",SUMIF(Dados_Brutos!D:D,A26,Dados_Brutos!E:E))</f>
        <v>32</v>
      </c>
      <c r="D26" s="16" cm="1">
        <f t="array" ref="D26">IF(Tabela2[[#This Row],[ TURBINA]]="","",MIN(IF(Dados_Brutos!D:D=Tabela2[[#This Row],[ TURBINA]],Dados_Brutos!A:A)))</f>
        <v>45488</v>
      </c>
      <c r="E26" s="16" cm="1">
        <f t="array" ref="E26">IF(Tabela2[[#This Row],[ TURBINA]]="","",MAX(IF(Tabela1[TURBINA] =Tabela2[[#This Row],[ TURBINA]],Tabela1[DATA INSPECAO])))</f>
        <v>45742</v>
      </c>
      <c r="F26" s="15" t="str">
        <f>IFERROR(INDEX(Dados_Brutos!H:H,MATCH(A26,Dados_Brutos!D:D,0)),"")</f>
        <v>Fora de Operação</v>
      </c>
      <c r="G26" s="15">
        <f>IF(Tabela2[[#This Row],[ TURBINA]]="","",SUMIF(Dados_Brutos!D:D,A26,Dados_Brutos!J:J))</f>
        <v>12</v>
      </c>
      <c r="H26" s="15">
        <f>IF(Tabela2[[#This Row],[ TURBINA]]="","",COUNTIFS(Dados_Brutos!D:D,A26,Dados_Brutos!K:K,"*Baixo*"))</f>
        <v>3</v>
      </c>
      <c r="I26" s="15">
        <f>IF(Tabela2[[#This Row],[ TURBINA]]="","",COUNTIFS(Dados_Brutos!D:D,A26,Dados_Brutos!K:K,"*Médio*"))</f>
        <v>0</v>
      </c>
      <c r="J26" s="15">
        <f>IF(Tabela2[[#This Row],[ TURBINA]]="","",COUNTIFS(Dados_Brutos!D:D,A26,Dados_Brutos!K:K,"*Alto*"))</f>
        <v>0</v>
      </c>
      <c r="K26" s="15" t="str">
        <f>IF(Tabela2[[#This Row],[ TURBINA]]="","",IF(AND(C26&gt;20,J26&gt;3),"🟥 ALTO RISCO",IF(AND(C26&gt;10,I26&gt;1),"🟨 MÉDIO RISCO","🟩 BAIXO RISCO")))</f>
        <v>🟩 BAIXO RISCO</v>
      </c>
      <c r="L26" s="50">
        <f>Tabela2[[#This Row],[ TOTAL IMAS TROCADOS]]*Config!$B$2</f>
        <v>41030.2336</v>
      </c>
      <c r="M26" s="48">
        <f t="shared" ca="1" si="7"/>
        <v>15.1875</v>
      </c>
      <c r="N26" s="48">
        <f t="shared" si="8"/>
        <v>0.375</v>
      </c>
      <c r="O26" s="16">
        <f t="shared" si="2"/>
        <v>45956</v>
      </c>
      <c r="P26" s="17">
        <f t="shared" ca="1" si="9"/>
        <v>0.97530864197530864</v>
      </c>
    </row>
    <row r="27" spans="1:16" x14ac:dyDescent="0.3">
      <c r="A27" s="15" t="s">
        <v>200</v>
      </c>
      <c r="B27" s="15" t="str">
        <f>IF(Tabela2[[#This Row],[ TURBINA]]="","",_xlfn.XLOOKUP(Tabela2[[#This Row],[ TURBINA]],Tabela1[TURBINA],Tabela1[CLUSTER]))</f>
        <v>Santo Inacio III</v>
      </c>
      <c r="C27" s="15">
        <f>IF(Tabela2[[#This Row],[ TURBINA]]="","",SUMIF(Dados_Brutos!D:D,A27,Dados_Brutos!E:E))</f>
        <v>20</v>
      </c>
      <c r="D27" s="16" cm="1">
        <f t="array" ref="D27">IF(Tabela2[[#This Row],[ TURBINA]]="","",MIN(IF(Dados_Brutos!D:D=Tabela2[[#This Row],[ TURBINA]],Dados_Brutos!A:A)))</f>
        <v>45448</v>
      </c>
      <c r="E27" s="16" cm="1">
        <f t="array" ref="E27">IF(Tabela2[[#This Row],[ TURBINA]]="","",MAX(IF(Tabela1[TURBINA] =Tabela2[[#This Row],[ TURBINA]],Tabela1[DATA INSPECAO])))</f>
        <v>45629</v>
      </c>
      <c r="F27" s="15" t="str">
        <f>IFERROR(INDEX(Dados_Brutos!H:H,MATCH(A27,Dados_Brutos!D:D,0)),"")</f>
        <v>Fora de Operação</v>
      </c>
      <c r="G27" s="15">
        <f>IF(Tabela2[[#This Row],[ TURBINA]]="","",SUMIF(Dados_Brutos!D:D,A27,Dados_Brutos!J:J))</f>
        <v>10</v>
      </c>
      <c r="H27" s="15">
        <f>IF(Tabela2[[#This Row],[ TURBINA]]="","",COUNTIFS(Dados_Brutos!D:D,A27,Dados_Brutos!K:K,"*Baixo*"))</f>
        <v>3</v>
      </c>
      <c r="I27" s="15">
        <f>IF(Tabela2[[#This Row],[ TURBINA]]="","",COUNTIFS(Dados_Brutos!D:D,A27,Dados_Brutos!K:K,"*Médio*"))</f>
        <v>0</v>
      </c>
      <c r="J27" s="15">
        <f>IF(Tabela2[[#This Row],[ TURBINA]]="","",COUNTIFS(Dados_Brutos!D:D,A27,Dados_Brutos!K:K,"*Alto*"))</f>
        <v>0</v>
      </c>
      <c r="K27" s="15" t="str">
        <f>IF(Tabela2[[#This Row],[ TURBINA]]="","",IF(AND(C27&gt;20,J27&gt;3),"🟥 ALTO RISCO",IF(AND(C27&gt;10,I27&gt;1),"🟨 MÉDIO RISCO","🟩 BAIXO RISCO")))</f>
        <v>🟩 BAIXO RISCO</v>
      </c>
      <c r="L27" s="50">
        <f>Tabela2[[#This Row],[ TOTAL IMAS TROCADOS]]*Config!$B$2</f>
        <v>25643.896000000001</v>
      </c>
      <c r="M27" s="48">
        <f t="shared" ca="1" si="7"/>
        <v>26.3</v>
      </c>
      <c r="N27" s="48">
        <f t="shared" si="8"/>
        <v>0.5</v>
      </c>
      <c r="O27" s="16">
        <f t="shared" si="2"/>
        <v>45841</v>
      </c>
      <c r="P27" s="17">
        <f t="shared" ca="1" si="9"/>
        <v>0.98098859315589348</v>
      </c>
    </row>
    <row r="28" spans="1:16" x14ac:dyDescent="0.3">
      <c r="A28" s="33" t="s">
        <v>201</v>
      </c>
      <c r="B28" s="33" t="str">
        <f>IF(Tabela2[[#This Row],[ TURBINA]]="","",_xlfn.XLOOKUP(Tabela2[[#This Row],[ TURBINA]],Tabela1[TURBINA],Tabela1[CLUSTER]))</f>
        <v>Santo Inacio III</v>
      </c>
      <c r="C28" s="33">
        <f>IF(Tabela2[[#This Row],[ TURBINA]]="","",SUMIF(Dados_Brutos!D:D,A28,Dados_Brutos!E:E))</f>
        <v>0</v>
      </c>
      <c r="D28" s="34" cm="1">
        <f t="array" ref="D28">IF(Tabela2[[#This Row],[ TURBINA]]="","",MIN(IF(Dados_Brutos!D:D=Tabela2[[#This Row],[ TURBINA]],Dados_Brutos!A:A)))</f>
        <v>45449</v>
      </c>
      <c r="E28" s="34" cm="1">
        <f t="array" ref="E28">IF(Tabela2[[#This Row],[ TURBINA]]="","",MAX(IF(Tabela1[TURBINA] =Tabela2[[#This Row],[ TURBINA]],Tabela1[DATA INSPECAO])))</f>
        <v>45971</v>
      </c>
      <c r="F28" s="33" t="str">
        <f>IFERROR(INDEX(Dados_Brutos!H:H,MATCH(A28,Dados_Brutos!D:D,0)),"")</f>
        <v>Em Operação</v>
      </c>
      <c r="G28" s="33">
        <f>IF(Tabela2[[#This Row],[ TURBINA]]="","",SUMIF(Dados_Brutos!D:D,A28,Dados_Brutos!J:J))</f>
        <v>0</v>
      </c>
      <c r="H28" s="33">
        <f>IF(Tabela2[[#This Row],[ TURBINA]]="","",COUNTIFS(Dados_Brutos!D:D,A28,Dados_Brutos!K:K,"*Baixo*"))</f>
        <v>1</v>
      </c>
      <c r="I28" s="33">
        <f>IF(Tabela2[[#This Row],[ TURBINA]]="","",COUNTIFS(Dados_Brutos!D:D,A28,Dados_Brutos!K:K,"*Médio*"))</f>
        <v>3</v>
      </c>
      <c r="J28" s="33">
        <f>IF(Tabela2[[#This Row],[ TURBINA]]="","",COUNTIFS(Dados_Brutos!D:D,A28,Dados_Brutos!K:K,"*Alto*"))</f>
        <v>0</v>
      </c>
      <c r="K28" s="33" t="str">
        <f>IF(Tabela2[[#This Row],[ TURBINA]]="","",IF(AND(C28&gt;20,J28&gt;3),"🟥 ALTO RISCO",IF(AND(C28&gt;10,I28&gt;1),"🟨 MÉDIO RISCO","🟩 BAIXO RISCO")))</f>
        <v>🟩 BAIXO RISCO</v>
      </c>
      <c r="L28" s="67">
        <f>Tabela2[[#This Row],[ TOTAL IMAS TROCADOS]]*Config!$B$2</f>
        <v>0</v>
      </c>
      <c r="M28" s="49" t="str">
        <f t="shared" ca="1" si="7"/>
        <v>Sem dados</v>
      </c>
      <c r="N28" s="49" t="str">
        <f t="shared" si="8"/>
        <v>Sem dados</v>
      </c>
      <c r="O28" s="34">
        <f t="shared" si="2"/>
        <v>46183</v>
      </c>
      <c r="P28" s="36">
        <f t="shared" ca="1" si="9"/>
        <v>1</v>
      </c>
    </row>
    <row r="29" spans="1:16" x14ac:dyDescent="0.3">
      <c r="A29" s="15" t="s">
        <v>202</v>
      </c>
      <c r="B29" s="15" t="str">
        <f>IF(Tabela2[[#This Row],[ TURBINA]]="","",_xlfn.XLOOKUP(Tabela2[[#This Row],[ TURBINA]],Tabela1[TURBINA],Tabela1[CLUSTER]))</f>
        <v>Santo Inacio III</v>
      </c>
      <c r="C29" s="15">
        <f>IF(Tabela2[[#This Row],[ TURBINA]]="","",SUMIF(Dados_Brutos!D:D,A29,Dados_Brutos!E:E))</f>
        <v>50</v>
      </c>
      <c r="D29" s="16" cm="1">
        <f t="array" ref="D29">IF(Tabela2[[#This Row],[ TURBINA]]="","",MIN(IF(Dados_Brutos!D:D=Tabela2[[#This Row],[ TURBINA]],Dados_Brutos!A:A)))</f>
        <v>45464</v>
      </c>
      <c r="E29" s="16" cm="1">
        <f t="array" ref="E29">IF(Tabela2[[#This Row],[ TURBINA]]="","",MAX(IF(Tabela1[TURBINA] =Tabela2[[#This Row],[ TURBINA]],Tabela1[DATA INSPECAO])))</f>
        <v>45639</v>
      </c>
      <c r="F29" s="15" t="str">
        <f>IFERROR(INDEX(Dados_Brutos!H:H,MATCH(A29,Dados_Brutos!D:D,0)),"")</f>
        <v>Fora de Operação</v>
      </c>
      <c r="G29" s="15">
        <f>IF(Tabela2[[#This Row],[ TURBINA]]="","",SUMIF(Dados_Brutos!D:D,A29,Dados_Brutos!J:J))</f>
        <v>11</v>
      </c>
      <c r="H29" s="15">
        <f>IF(Tabela2[[#This Row],[ TURBINA]]="","",COUNTIFS(Dados_Brutos!D:D,A29,Dados_Brutos!K:K,"*Baixo*"))</f>
        <v>2</v>
      </c>
      <c r="I29" s="15">
        <f>IF(Tabela2[[#This Row],[ TURBINA]]="","",COUNTIFS(Dados_Brutos!D:D,A29,Dados_Brutos!K:K,"*Médio*"))</f>
        <v>0</v>
      </c>
      <c r="J29" s="15">
        <f>IF(Tabela2[[#This Row],[ TURBINA]]="","",COUNTIFS(Dados_Brutos!D:D,A29,Dados_Brutos!K:K,"*Alto*"))</f>
        <v>1</v>
      </c>
      <c r="K29" s="15" t="str">
        <f>IF(Tabela2[[#This Row],[ TURBINA]]="","",IF(AND(C29&gt;20,J29&gt;3),"🟥 ALTO RISCO",IF(AND(C29&gt;10,I29&gt;1),"🟨 MÉDIO RISCO","🟩 BAIXO RISCO")))</f>
        <v>🟩 BAIXO RISCO</v>
      </c>
      <c r="L29" s="50">
        <f>Tabela2[[#This Row],[ TOTAL IMAS TROCADOS]]*Config!$B$2</f>
        <v>64109.74</v>
      </c>
      <c r="M29" s="48">
        <f t="shared" ca="1" si="7"/>
        <v>10.199999999999999</v>
      </c>
      <c r="N29" s="48">
        <f t="shared" si="8"/>
        <v>0.22</v>
      </c>
      <c r="O29" s="16">
        <f t="shared" si="2"/>
        <v>45851</v>
      </c>
      <c r="P29" s="17">
        <f t="shared" ca="1" si="9"/>
        <v>0.97843137254901957</v>
      </c>
    </row>
    <row r="30" spans="1:16" x14ac:dyDescent="0.3">
      <c r="A30" s="15" t="s">
        <v>203</v>
      </c>
      <c r="B30" s="15" t="str">
        <f>IF(Tabela2[[#This Row],[ TURBINA]]="","",_xlfn.XLOOKUP(Tabela2[[#This Row],[ TURBINA]],Tabela1[TURBINA],Tabela1[CLUSTER]))</f>
        <v>Santo Inacio III</v>
      </c>
      <c r="C30" s="15">
        <f>IF(Tabela2[[#This Row],[ TURBINA]]="","",SUMIF(Dados_Brutos!D:D,A30,Dados_Brutos!E:E))</f>
        <v>142</v>
      </c>
      <c r="D30" s="16" cm="1">
        <f t="array" ref="D30">IF(Tabela2[[#This Row],[ TURBINA]]="","",MIN(IF(Dados_Brutos!D:D=Tabela2[[#This Row],[ TURBINA]],Dados_Brutos!A:A)))</f>
        <v>45391</v>
      </c>
      <c r="E30" s="16" cm="1">
        <f t="array" ref="E30">IF(Tabela2[[#This Row],[ TURBINA]]="","",MAX(IF(Tabela1[TURBINA] =Tabela2[[#This Row],[ TURBINA]],Tabela1[DATA INSPECAO])))</f>
        <v>45748</v>
      </c>
      <c r="F30" s="15" t="str">
        <f>IFERROR(INDEX(Dados_Brutos!H:H,MATCH(A30,Dados_Brutos!D:D,0)),"")</f>
        <v>Fora de Operação</v>
      </c>
      <c r="G30" s="15">
        <f>IF(Tabela2[[#This Row],[ TURBINA]]="","",SUMIF(Dados_Brutos!D:D,A30,Dados_Brutos!J:J))</f>
        <v>202</v>
      </c>
      <c r="H30" s="15">
        <f>IF(Tabela2[[#This Row],[ TURBINA]]="","",COUNTIFS(Dados_Brutos!D:D,A30,Dados_Brutos!K:K,"*Baixo*"))</f>
        <v>2</v>
      </c>
      <c r="I30" s="15">
        <f>IF(Tabela2[[#This Row],[ TURBINA]]="","",COUNTIFS(Dados_Brutos!D:D,A30,Dados_Brutos!K:K,"*Médio*"))</f>
        <v>0</v>
      </c>
      <c r="J30" s="15">
        <f>IF(Tabela2[[#This Row],[ TURBINA]]="","",COUNTIFS(Dados_Brutos!D:D,A30,Dados_Brutos!K:K,"*Alto*"))</f>
        <v>1</v>
      </c>
      <c r="K30" s="15" t="str">
        <f>IF(Tabela2[[#This Row],[ TURBINA]]="","",IF(AND(C30&gt;20,J30&gt;3),"🟥 ALTO RISCO",IF(AND(C30&gt;10,I30&gt;1),"🟨 MÉDIO RISCO","🟩 BAIXO RISCO")))</f>
        <v>🟩 BAIXO RISCO</v>
      </c>
      <c r="L30" s="50">
        <f>Tabela2[[#This Row],[ TOTAL IMAS TROCADOS]]*Config!$B$2</f>
        <v>182071.66159999999</v>
      </c>
      <c r="M30" s="48">
        <f t="shared" ca="1" si="7"/>
        <v>4.105633802816901</v>
      </c>
      <c r="N30" s="48">
        <f t="shared" si="8"/>
        <v>1.4225352112676057</v>
      </c>
      <c r="O30" s="16">
        <f t="shared" si="2"/>
        <v>45962</v>
      </c>
      <c r="P30" s="17">
        <f t="shared" ca="1" si="9"/>
        <v>0.65351629502572894</v>
      </c>
    </row>
    <row r="31" spans="1:16" x14ac:dyDescent="0.3">
      <c r="A31" s="15" t="s">
        <v>207</v>
      </c>
      <c r="B31" s="15" t="str">
        <f>IF(Tabela2[[#This Row],[ TURBINA]]="","",_xlfn.XLOOKUP(Tabela2[[#This Row],[ TURBINA]],Tabela1[TURBINA],Tabela1[CLUSTER]))</f>
        <v>Santo Inacio IV</v>
      </c>
      <c r="C31" s="15">
        <f>IF(Tabela2[[#This Row],[ TURBINA]]="","",SUMIF(Dados_Brutos!D:D,A31,Dados_Brutos!E:E))</f>
        <v>10</v>
      </c>
      <c r="D31" s="16" cm="1">
        <f t="array" ref="D31">IF(Tabela2[[#This Row],[ TURBINA]]="","",MIN(IF(Dados_Brutos!D:D=Tabela2[[#This Row],[ TURBINA]],Dados_Brutos!A:A)))</f>
        <v>45457</v>
      </c>
      <c r="E31" s="16" cm="1">
        <f t="array" ref="E31">IF(Tabela2[[#This Row],[ TURBINA]]="","",MAX(IF(Tabela1[TURBINA] =Tabela2[[#This Row],[ TURBINA]],Tabela1[DATA INSPECAO])))</f>
        <v>45628</v>
      </c>
      <c r="F31" s="15" t="str">
        <f>IFERROR(INDEX(Dados_Brutos!H:H,MATCH(A31,Dados_Brutos!D:D,0)),"")</f>
        <v>Em Operação</v>
      </c>
      <c r="G31" s="15">
        <f>IF(Tabela2[[#This Row],[ TURBINA]]="","",SUMIF(Dados_Brutos!D:D,A31,Dados_Brutos!J:J))</f>
        <v>0</v>
      </c>
      <c r="H31" s="15">
        <f>IF(Tabela2[[#This Row],[ TURBINA]]="","",COUNTIFS(Dados_Brutos!D:D,A31,Dados_Brutos!K:K,"*Baixo*"))</f>
        <v>1</v>
      </c>
      <c r="I31" s="15">
        <f>IF(Tabela2[[#This Row],[ TURBINA]]="","",COUNTIFS(Dados_Brutos!D:D,A31,Dados_Brutos!K:K,"*Médio*"))</f>
        <v>2</v>
      </c>
      <c r="J31" s="15">
        <f>IF(Tabela2[[#This Row],[ TURBINA]]="","",COUNTIFS(Dados_Brutos!D:D,A31,Dados_Brutos!K:K,"*Alto*"))</f>
        <v>0</v>
      </c>
      <c r="K31" s="15" t="str">
        <f>IF(Tabela2[[#This Row],[ TURBINA]]="","",IF(AND(C31&gt;20,J31&gt;3),"🟥 ALTO RISCO",IF(AND(C31&gt;10,I31&gt;1),"🟨 MÉDIO RISCO","🟩 BAIXO RISCO")))</f>
        <v>🟩 BAIXO RISCO</v>
      </c>
      <c r="L31" s="50">
        <f>Tabela2[[#This Row],[ TOTAL IMAS TROCADOS]]*Config!$B$2</f>
        <v>12821.948</v>
      </c>
      <c r="M31" s="48">
        <f t="shared" ca="1" si="7"/>
        <v>51.7</v>
      </c>
      <c r="N31" s="48">
        <f t="shared" si="8"/>
        <v>0</v>
      </c>
      <c r="O31" s="16">
        <f t="shared" si="2"/>
        <v>45840</v>
      </c>
      <c r="P31" s="17">
        <f t="shared" ca="1" si="9"/>
        <v>1</v>
      </c>
    </row>
    <row r="32" spans="1:16" x14ac:dyDescent="0.3">
      <c r="A32" s="15" t="s">
        <v>204</v>
      </c>
      <c r="B32" s="15" t="str">
        <f>IF(Tabela2[[#This Row],[ TURBINA]]="","",_xlfn.XLOOKUP(Tabela2[[#This Row],[ TURBINA]],Tabela1[TURBINA],Tabela1[CLUSTER]))</f>
        <v>Santo Inacio III</v>
      </c>
      <c r="C32" s="15">
        <f>IF(Tabela2[[#This Row],[ TURBINA]]="","",SUMIF(Dados_Brutos!D:D,A32,Dados_Brutos!E:E))</f>
        <v>10</v>
      </c>
      <c r="D32" s="16" cm="1">
        <f t="array" ref="D32">IF(Tabela2[[#This Row],[ TURBINA]]="","",MIN(IF(Dados_Brutos!D:D=Tabela2[[#This Row],[ TURBINA]],Dados_Brutos!A:A)))</f>
        <v>45422</v>
      </c>
      <c r="E32" s="16" cm="1">
        <f t="array" ref="E32">IF(Tabela2[[#This Row],[ TURBINA]]="","",MAX(IF(Tabela1[TURBINA] =Tabela2[[#This Row],[ TURBINA]],Tabela1[DATA INSPECAO])))</f>
        <v>45635</v>
      </c>
      <c r="F32" s="15" t="str">
        <f>IFERROR(INDEX(Dados_Brutos!H:H,MATCH(A32,Dados_Brutos!D:D,0)),"")</f>
        <v>Em Operação</v>
      </c>
      <c r="G32" s="15">
        <f>IF(Tabela2[[#This Row],[ TURBINA]]="","",SUMIF(Dados_Brutos!D:D,A32,Dados_Brutos!J:J))</f>
        <v>1</v>
      </c>
      <c r="H32" s="15">
        <f>IF(Tabela2[[#This Row],[ TURBINA]]="","",COUNTIFS(Dados_Brutos!D:D,A32,Dados_Brutos!K:K,"*Baixo*"))</f>
        <v>3</v>
      </c>
      <c r="I32" s="15">
        <f>IF(Tabela2[[#This Row],[ TURBINA]]="","",COUNTIFS(Dados_Brutos!D:D,A32,Dados_Brutos!K:K,"*Médio*"))</f>
        <v>0</v>
      </c>
      <c r="J32" s="15">
        <f>IF(Tabela2[[#This Row],[ TURBINA]]="","",COUNTIFS(Dados_Brutos!D:D,A32,Dados_Brutos!K:K,"*Alto*"))</f>
        <v>0</v>
      </c>
      <c r="K32" s="15" t="str">
        <f>IF(Tabela2[[#This Row],[ TURBINA]]="","",IF(AND(C32&gt;20,J32&gt;3),"🟥 ALTO RISCO",IF(AND(C32&gt;10,I32&gt;1),"🟨 MÉDIO RISCO","🟩 BAIXO RISCO")))</f>
        <v>🟩 BAIXO RISCO</v>
      </c>
      <c r="L32" s="50">
        <f>Tabela2[[#This Row],[ TOTAL IMAS TROCADOS]]*Config!$B$2</f>
        <v>12821.948</v>
      </c>
      <c r="M32" s="48">
        <f t="shared" ca="1" si="7"/>
        <v>55.2</v>
      </c>
      <c r="N32" s="48">
        <f t="shared" si="8"/>
        <v>0.1</v>
      </c>
      <c r="O32" s="16">
        <f t="shared" si="2"/>
        <v>45847</v>
      </c>
      <c r="P32" s="17">
        <f t="shared" ca="1" si="9"/>
        <v>0.99818840579710144</v>
      </c>
    </row>
    <row r="33" spans="1:16" x14ac:dyDescent="0.3">
      <c r="A33" s="33" t="s">
        <v>208</v>
      </c>
      <c r="B33" s="33" t="str">
        <f>IF(Tabela2[[#This Row],[ TURBINA]]="","",_xlfn.XLOOKUP(Tabela2[[#This Row],[ TURBINA]],Tabela1[TURBINA],Tabela1[CLUSTER]))</f>
        <v>Santo Inacio IV</v>
      </c>
      <c r="C33" s="33">
        <f>IF(Tabela2[[#This Row],[ TURBINA]]="","",SUMIF(Dados_Brutos!D:D,A33,Dados_Brutos!E:E))</f>
        <v>0</v>
      </c>
      <c r="D33" s="34" cm="1">
        <f t="array" ref="D33">IF(Tabela2[[#This Row],[ TURBINA]]="","",MIN(IF(Dados_Brutos!D:D=Tabela2[[#This Row],[ TURBINA]],Dados_Brutos!A:A)))</f>
        <v>45460</v>
      </c>
      <c r="E33" s="34" cm="1">
        <f t="array" ref="E33">IF(Tabela2[[#This Row],[ TURBINA]]="","",MAX(IF(Tabela1[TURBINA] =Tabela2[[#This Row],[ TURBINA]],Tabela1[DATA INSPECAO])))</f>
        <v>45737</v>
      </c>
      <c r="F33" s="33" t="str">
        <f>IFERROR(INDEX(Dados_Brutos!H:H,MATCH(A33,Dados_Brutos!D:D,0)),"")</f>
        <v>Em Operação</v>
      </c>
      <c r="G33" s="33">
        <f>IF(Tabela2[[#This Row],[ TURBINA]]="","",SUMIF(Dados_Brutos!D:D,A33,Dados_Brutos!J:J))</f>
        <v>0</v>
      </c>
      <c r="H33" s="33">
        <f>IF(Tabela2[[#This Row],[ TURBINA]]="","",COUNTIFS(Dados_Brutos!D:D,A33,Dados_Brutos!K:K,"*Baixo*"))</f>
        <v>3</v>
      </c>
      <c r="I33" s="33">
        <f>IF(Tabela2[[#This Row],[ TURBINA]]="","",COUNTIFS(Dados_Brutos!D:D,A33,Dados_Brutos!K:K,"*Médio*"))</f>
        <v>0</v>
      </c>
      <c r="J33" s="33">
        <f>IF(Tabela2[[#This Row],[ TURBINA]]="","",COUNTIFS(Dados_Brutos!D:D,A33,Dados_Brutos!K:K,"*Alto*"))</f>
        <v>0</v>
      </c>
      <c r="K33" s="33" t="str">
        <f>IF(Tabela2[[#This Row],[ TURBINA]]="","",IF(AND(C33&gt;20,J33&gt;3),"🟥 ALTO RISCO",IF(AND(C33&gt;10,I33&gt;1),"🟨 MÉDIO RISCO","🟩 BAIXO RISCO")))</f>
        <v>🟩 BAIXO RISCO</v>
      </c>
      <c r="L33" s="67">
        <f>Tabela2[[#This Row],[ TOTAL IMAS TROCADOS]]*Config!$B$2</f>
        <v>0</v>
      </c>
      <c r="M33" s="49" t="str">
        <f t="shared" ca="1" si="7"/>
        <v>Sem dados</v>
      </c>
      <c r="N33" s="49" t="str">
        <f t="shared" si="8"/>
        <v>Sem dados</v>
      </c>
      <c r="O33" s="34">
        <f t="shared" si="2"/>
        <v>45951</v>
      </c>
      <c r="P33" s="36">
        <f t="shared" ca="1" si="9"/>
        <v>1</v>
      </c>
    </row>
    <row r="34" spans="1:16" x14ac:dyDescent="0.3">
      <c r="A34" s="15" t="s">
        <v>209</v>
      </c>
      <c r="B34" s="15" t="str">
        <f>IF(Tabela2[[#This Row],[ TURBINA]]="","",_xlfn.XLOOKUP(Tabela2[[#This Row],[ TURBINA]],Tabela1[TURBINA],Tabela1[CLUSTER]))</f>
        <v>Santo Inacio IV</v>
      </c>
      <c r="C34" s="15">
        <f>IF(Tabela2[[#This Row],[ TURBINA]]="","",SUMIF(Dados_Brutos!D:D,A34,Dados_Brutos!E:E))</f>
        <v>80</v>
      </c>
      <c r="D34" s="16" cm="1">
        <f t="array" ref="D34">IF(Tabela2[[#This Row],[ TURBINA]]="","",MIN(IF(Dados_Brutos!D:D=Tabela2[[#This Row],[ TURBINA]],Dados_Brutos!A:A)))</f>
        <v>45384</v>
      </c>
      <c r="E34" s="16" cm="1">
        <f t="array" ref="E34">IF(Tabela2[[#This Row],[ TURBINA]]="","",MAX(IF(Tabela1[TURBINA] =Tabela2[[#This Row],[ TURBINA]],Tabela1[DATA INSPECAO])))</f>
        <v>45619</v>
      </c>
      <c r="F34" s="15" t="str">
        <f>IFERROR(INDEX(Dados_Brutos!H:H,MATCH(A34,Dados_Brutos!D:D,0)),"")</f>
        <v>Fora de Operação</v>
      </c>
      <c r="G34" s="15">
        <f>IF(Tabela2[[#This Row],[ TURBINA]]="","",SUMIF(Dados_Brutos!D:D,A34,Dados_Brutos!J:J))</f>
        <v>128</v>
      </c>
      <c r="H34" s="15">
        <f>IF(Tabela2[[#This Row],[ TURBINA]]="","",COUNTIFS(Dados_Brutos!D:D,A34,Dados_Brutos!K:K,"*Baixo*"))</f>
        <v>2</v>
      </c>
      <c r="I34" s="15">
        <f>IF(Tabela2[[#This Row],[ TURBINA]]="","",COUNTIFS(Dados_Brutos!D:D,A34,Dados_Brutos!K:K,"*Médio*"))</f>
        <v>0</v>
      </c>
      <c r="J34" s="15">
        <f>IF(Tabela2[[#This Row],[ TURBINA]]="","",COUNTIFS(Dados_Brutos!D:D,A34,Dados_Brutos!K:K,"*Alto*"))</f>
        <v>1</v>
      </c>
      <c r="K34" s="15" t="str">
        <f>IF(Tabela2[[#This Row],[ TURBINA]]="","",IF(AND(C34&gt;20,J34&gt;3),"🟥 ALTO RISCO",IF(AND(C34&gt;10,I34&gt;1),"🟨 MÉDIO RISCO","🟩 BAIXO RISCO")))</f>
        <v>🟩 BAIXO RISCO</v>
      </c>
      <c r="L34" s="50">
        <f>Tabela2[[#This Row],[ TOTAL IMAS TROCADOS]]*Config!$B$2</f>
        <v>102575.584</v>
      </c>
      <c r="M34" s="48">
        <f t="shared" ca="1" si="7"/>
        <v>7.375</v>
      </c>
      <c r="N34" s="48">
        <f t="shared" si="8"/>
        <v>1.6</v>
      </c>
      <c r="O34" s="16">
        <f t="shared" si="2"/>
        <v>45831</v>
      </c>
      <c r="P34" s="17">
        <f t="shared" ca="1" si="9"/>
        <v>0.7830508474576271</v>
      </c>
    </row>
    <row r="35" spans="1:16" x14ac:dyDescent="0.3">
      <c r="A35" s="15" t="s">
        <v>210</v>
      </c>
      <c r="B35" s="15" t="str">
        <f>IF(Tabela2[[#This Row],[ TURBINA]]="","",_xlfn.XLOOKUP(Tabela2[[#This Row],[ TURBINA]],Tabela1[TURBINA],Tabela1[CLUSTER]))</f>
        <v>Santo Inacio IV</v>
      </c>
      <c r="C35" s="15">
        <f>IF(Tabela2[[#This Row],[ TURBINA]]="","",SUMIF(Dados_Brutos!D:D,A35,Dados_Brutos!E:E))</f>
        <v>62</v>
      </c>
      <c r="D35" s="16" cm="1">
        <f t="array" ref="D35">IF(Tabela2[[#This Row],[ TURBINA]]="","",MIN(IF(Dados_Brutos!D:D=Tabela2[[#This Row],[ TURBINA]],Dados_Brutos!A:A)))</f>
        <v>45429</v>
      </c>
      <c r="E35" s="16" cm="1">
        <f t="array" ref="E35">IF(Tabela2[[#This Row],[ TURBINA]]="","",MAX(IF(Tabela1[TURBINA] =Tabela2[[#This Row],[ TURBINA]],Tabela1[DATA INSPECAO])))</f>
        <v>45912</v>
      </c>
      <c r="F35" s="15" t="str">
        <f>IFERROR(INDEX(Dados_Brutos!H:H,MATCH(A35,Dados_Brutos!D:D,0)),"")</f>
        <v>Fora de Operação</v>
      </c>
      <c r="G35" s="15">
        <f>IF(Tabela2[[#This Row],[ TURBINA]]="","",SUMIF(Dados_Brutos!D:D,A35,Dados_Brutos!J:J))</f>
        <v>63</v>
      </c>
      <c r="H35" s="15">
        <f>IF(Tabela2[[#This Row],[ TURBINA]]="","",COUNTIFS(Dados_Brutos!D:D,A35,Dados_Brutos!K:K,"*Baixo*"))</f>
        <v>1</v>
      </c>
      <c r="I35" s="15">
        <f>IF(Tabela2[[#This Row],[ TURBINA]]="","",COUNTIFS(Dados_Brutos!D:D,A35,Dados_Brutos!K:K,"*Médio*"))</f>
        <v>2</v>
      </c>
      <c r="J35" s="15">
        <f>IF(Tabela2[[#This Row],[ TURBINA]]="","",COUNTIFS(Dados_Brutos!D:D,A35,Dados_Brutos!K:K,"*Alto*"))</f>
        <v>1</v>
      </c>
      <c r="K35" s="15" t="str">
        <f>IF(Tabela2[[#This Row],[ TURBINA]]="","",IF(AND(C35&gt;20,J35&gt;3),"🟥 ALTO RISCO",IF(AND(C35&gt;10,I35&gt;1),"🟨 MÉDIO RISCO","🟩 BAIXO RISCO")))</f>
        <v>🟨 MÉDIO RISCO</v>
      </c>
      <c r="L35" s="50">
        <f>Tabela2[[#This Row],[ TOTAL IMAS TROCADOS]]*Config!$B$2</f>
        <v>79496.077600000004</v>
      </c>
      <c r="M35" s="48">
        <f t="shared" ca="1" si="7"/>
        <v>8.7903225806451619</v>
      </c>
      <c r="N35" s="48">
        <f t="shared" si="8"/>
        <v>1.0161290322580645</v>
      </c>
      <c r="O35" s="16">
        <f t="shared" si="2"/>
        <v>46124</v>
      </c>
      <c r="P35" s="17">
        <f t="shared" ca="1" si="9"/>
        <v>0.88440366972477058</v>
      </c>
    </row>
    <row r="36" spans="1:16" x14ac:dyDescent="0.3">
      <c r="A36" s="15" t="s">
        <v>183</v>
      </c>
      <c r="B36" s="15" t="str">
        <f>IF(Tabela2[[#This Row],[ TURBINA]]="","",_xlfn.XLOOKUP(Tabela2[[#This Row],[ TURBINA]],Tabela1[TURBINA],Tabela1[CLUSTER]))</f>
        <v>Garrote</v>
      </c>
      <c r="C36" s="15">
        <f>IF(Tabela2[[#This Row],[ TURBINA]]="","",SUMIF(Dados_Brutos!D:D,A36,Dados_Brutos!E:E))</f>
        <v>410</v>
      </c>
      <c r="D36" s="16" cm="1">
        <f t="array" ref="D36">IF(Tabela2[[#This Row],[ TURBINA]]="","",MIN(IF(Dados_Brutos!D:D=Tabela2[[#This Row],[ TURBINA]],Dados_Brutos!A:A)))</f>
        <v>45408</v>
      </c>
      <c r="E36" s="16" cm="1">
        <f t="array" ref="E36">IF(Tabela2[[#This Row],[ TURBINA]]="","",MAX(IF(Tabela1[TURBINA] =Tabela2[[#This Row],[ TURBINA]],Tabela1[DATA INSPECAO])))</f>
        <v>45965</v>
      </c>
      <c r="F36" s="15" t="str">
        <f>IFERROR(INDEX(Dados_Brutos!H:H,MATCH(A36,Dados_Brutos!D:D,0)),"")</f>
        <v>Fora de Operação</v>
      </c>
      <c r="G36" s="15">
        <f>IF(Tabela2[[#This Row],[ TURBINA]]="","",SUMIF(Dados_Brutos!D:D,A36,Dados_Brutos!J:J))</f>
        <v>166</v>
      </c>
      <c r="H36" s="15">
        <f>IF(Tabela2[[#This Row],[ TURBINA]]="","",COUNTIFS(Dados_Brutos!D:D,A36,Dados_Brutos!K:K,"*Baixo*"))</f>
        <v>3</v>
      </c>
      <c r="I36" s="15">
        <f>IF(Tabela2[[#This Row],[ TURBINA]]="","",COUNTIFS(Dados_Brutos!D:D,A36,Dados_Brutos!K:K,"*Médio*"))</f>
        <v>0</v>
      </c>
      <c r="J36" s="15">
        <f>IF(Tabela2[[#This Row],[ TURBINA]]="","",COUNTIFS(Dados_Brutos!D:D,A36,Dados_Brutos!K:K,"*Alto*"))</f>
        <v>1</v>
      </c>
      <c r="K36" s="15" t="str">
        <f>IF(Tabela2[[#This Row],[ TURBINA]]="","",IF(AND(C36&gt;20,J36&gt;3),"🟥 ALTO RISCO",IF(AND(C36&gt;10,I36&gt;1),"🟨 MÉDIO RISCO","🟩 BAIXO RISCO")))</f>
        <v>🟩 BAIXO RISCO</v>
      </c>
      <c r="L36" s="50">
        <f>Tabela2[[#This Row],[ TOTAL IMAS TROCADOS]]*Config!$B$2</f>
        <v>525699.86800000002</v>
      </c>
      <c r="M36" s="48">
        <f t="shared" ca="1" si="7"/>
        <v>1.3804878048780487</v>
      </c>
      <c r="N36" s="48">
        <f t="shared" si="8"/>
        <v>0.40487804878048783</v>
      </c>
      <c r="O36" s="16">
        <f t="shared" si="2"/>
        <v>46177</v>
      </c>
      <c r="P36" s="17">
        <f t="shared" ca="1" si="9"/>
        <v>0.70671378091872794</v>
      </c>
    </row>
    <row r="37" spans="1:16" x14ac:dyDescent="0.3">
      <c r="A37" s="15" t="s">
        <v>211</v>
      </c>
      <c r="B37" s="15" t="str">
        <f>IF(Tabela2[[#This Row],[ TURBINA]]="","",_xlfn.XLOOKUP(Tabela2[[#This Row],[ TURBINA]],Tabela1[TURBINA],Tabela1[CLUSTER]))</f>
        <v>Santo Inacio IV</v>
      </c>
      <c r="C37" s="15">
        <f>IF(Tabela2[[#This Row],[ TURBINA]]="","",SUMIF(Dados_Brutos!D:D,A37,Dados_Brutos!E:E))</f>
        <v>320</v>
      </c>
      <c r="D37" s="16" cm="1">
        <f t="array" ref="D37">IF(Tabela2[[#This Row],[ TURBINA]]="","",MIN(IF(Dados_Brutos!D:D=Tabela2[[#This Row],[ TURBINA]],Dados_Brutos!A:A)))</f>
        <v>45415</v>
      </c>
      <c r="E37" s="16" cm="1">
        <f t="array" ref="E37">IF(Tabela2[[#This Row],[ TURBINA]]="","",MAX(IF(Tabela1[TURBINA] =Tabela2[[#This Row],[ TURBINA]],Tabela1[DATA INSPECAO])))</f>
        <v>45974</v>
      </c>
      <c r="F37" s="15" t="str">
        <f>IFERROR(INDEX(Dados_Brutos!H:H,MATCH(A37,Dados_Brutos!D:D,0)),"")</f>
        <v>Fora de Operação</v>
      </c>
      <c r="G37" s="15">
        <f>IF(Tabela2[[#This Row],[ TURBINA]]="","",SUMIF(Dados_Brutos!D:D,A37,Dados_Brutos!J:J))</f>
        <v>144</v>
      </c>
      <c r="H37" s="15">
        <f>IF(Tabela2[[#This Row],[ TURBINA]]="","",COUNTIFS(Dados_Brutos!D:D,A37,Dados_Brutos!K:K,"*Baixo*"))</f>
        <v>3</v>
      </c>
      <c r="I37" s="15">
        <f>IF(Tabela2[[#This Row],[ TURBINA]]="","",COUNTIFS(Dados_Brutos!D:D,A37,Dados_Brutos!K:K,"*Médio*"))</f>
        <v>0</v>
      </c>
      <c r="J37" s="15">
        <f>IF(Tabela2[[#This Row],[ TURBINA]]="","",COUNTIFS(Dados_Brutos!D:D,A37,Dados_Brutos!K:K,"*Alto*"))</f>
        <v>1</v>
      </c>
      <c r="K37" s="15" t="str">
        <f>IF(Tabela2[[#This Row],[ TURBINA]]="","",IF(AND(C37&gt;20,J37&gt;3),"🟥 ALTO RISCO",IF(AND(C37&gt;10,I37&gt;1),"🟨 MÉDIO RISCO","🟩 BAIXO RISCO")))</f>
        <v>🟩 BAIXO RISCO</v>
      </c>
      <c r="L37" s="50">
        <f>Tabela2[[#This Row],[ TOTAL IMAS TROCADOS]]*Config!$B$2</f>
        <v>410302.33600000001</v>
      </c>
      <c r="M37" s="48">
        <f t="shared" ca="1" si="7"/>
        <v>1.746875</v>
      </c>
      <c r="N37" s="48">
        <f t="shared" si="8"/>
        <v>0.45</v>
      </c>
      <c r="O37" s="16">
        <f t="shared" si="2"/>
        <v>46186</v>
      </c>
      <c r="P37" s="17">
        <f t="shared" ca="1" si="9"/>
        <v>0.74239713774597493</v>
      </c>
    </row>
    <row r="38" spans="1:16" x14ac:dyDescent="0.3">
      <c r="A38" s="15" t="s">
        <v>212</v>
      </c>
      <c r="B38" s="15" t="str">
        <f>IF(Tabela2[[#This Row],[ TURBINA]]="","",_xlfn.XLOOKUP(Tabela2[[#This Row],[ TURBINA]],Tabela1[TURBINA],Tabela1[CLUSTER]))</f>
        <v>Santo Inacio IV</v>
      </c>
      <c r="C38" s="15">
        <f>IF(Tabela2[[#This Row],[ TURBINA]]="","",SUMIF(Dados_Brutos!D:D,A38,Dados_Brutos!E:E))</f>
        <v>0</v>
      </c>
      <c r="D38" s="16" cm="1">
        <f t="array" ref="D38">IF(Tabela2[[#This Row],[ TURBINA]]="","",MIN(IF(Dados_Brutos!D:D=Tabela2[[#This Row],[ TURBINA]],Dados_Brutos!A:A)))</f>
        <v>45454</v>
      </c>
      <c r="E38" s="16" cm="1">
        <f t="array" ref="E38">IF(Tabela2[[#This Row],[ TURBINA]]="","",MAX(IF(Tabela1[TURBINA] =Tabela2[[#This Row],[ TURBINA]],Tabela1[DATA INSPECAO])))</f>
        <v>45740</v>
      </c>
      <c r="F38" s="15" t="str">
        <f>IFERROR(INDEX(Dados_Brutos!H:H,MATCH(A38,Dados_Brutos!D:D,0)),"")</f>
        <v>Em Operação</v>
      </c>
      <c r="G38" s="15">
        <f>IF(Tabela2[[#This Row],[ TURBINA]]="","",SUMIF(Dados_Brutos!D:D,A38,Dados_Brutos!J:J))</f>
        <v>0</v>
      </c>
      <c r="H38" s="15">
        <f>IF(Tabela2[[#This Row],[ TURBINA]]="","",COUNTIFS(Dados_Brutos!D:D,A38,Dados_Brutos!K:K,"*Baixo*"))</f>
        <v>0</v>
      </c>
      <c r="I38" s="15">
        <f>IF(Tabela2[[#This Row],[ TURBINA]]="","",COUNTIFS(Dados_Brutos!D:D,A38,Dados_Brutos!K:K,"*Médio*"))</f>
        <v>3</v>
      </c>
      <c r="J38" s="15">
        <f>IF(Tabela2[[#This Row],[ TURBINA]]="","",COUNTIFS(Dados_Brutos!D:D,A38,Dados_Brutos!K:K,"*Alto*"))</f>
        <v>0</v>
      </c>
      <c r="K38" s="15" t="str">
        <f>IF(Tabela2[[#This Row],[ TURBINA]]="","",IF(AND(C38&gt;20,J38&gt;3),"🟥 ALTO RISCO",IF(AND(C38&gt;10,I38&gt;1),"🟨 MÉDIO RISCO","🟩 BAIXO RISCO")))</f>
        <v>🟩 BAIXO RISCO</v>
      </c>
      <c r="L38" s="50">
        <f>Tabela2[[#This Row],[ TOTAL IMAS TROCADOS]]*Config!$B$2</f>
        <v>0</v>
      </c>
      <c r="M38" s="48" t="str">
        <f t="shared" ca="1" si="7"/>
        <v>Sem dados</v>
      </c>
      <c r="N38" s="48" t="str">
        <f t="shared" si="8"/>
        <v>Sem dados</v>
      </c>
      <c r="O38" s="16">
        <f t="shared" si="2"/>
        <v>45954</v>
      </c>
      <c r="P38" s="17">
        <f t="shared" ca="1" si="9"/>
        <v>1</v>
      </c>
    </row>
    <row r="39" spans="1:16" x14ac:dyDescent="0.3">
      <c r="A39" s="33" t="s">
        <v>213</v>
      </c>
      <c r="B39" s="33" t="str">
        <f>IF(Tabela2[[#This Row],[ TURBINA]]="","",_xlfn.XLOOKUP(Tabela2[[#This Row],[ TURBINA]],Tabela1[TURBINA],Tabela1[CLUSTER]))</f>
        <v>Santo Inacio IV</v>
      </c>
      <c r="C39" s="33">
        <f>IF(Tabela2[[#This Row],[ TURBINA]]="","",SUMIF(Dados_Brutos!D:D,A39,Dados_Brutos!E:E))</f>
        <v>0</v>
      </c>
      <c r="D39" s="34" cm="1">
        <f t="array" ref="D39">IF(Tabela2[[#This Row],[ TURBINA]]="","",MIN(IF(Dados_Brutos!D:D=Tabela2[[#This Row],[ TURBINA]],Dados_Brutos!A:A)))</f>
        <v>45461</v>
      </c>
      <c r="E39" s="34" cm="1">
        <f t="array" ref="E39">IF(Tabela2[[#This Row],[ TURBINA]]="","",MAX(IF(Tabela1[TURBINA] =Tabela2[[#This Row],[ TURBINA]],Tabela1[DATA INSPECAO])))</f>
        <v>45735</v>
      </c>
      <c r="F39" s="33" t="str">
        <f>IFERROR(INDEX(Dados_Brutos!H:H,MATCH(A39,Dados_Brutos!D:D,0)),"")</f>
        <v>Em Operação</v>
      </c>
      <c r="G39" s="33">
        <f>IF(Tabela2[[#This Row],[ TURBINA]]="","",SUMIF(Dados_Brutos!D:D,A39,Dados_Brutos!J:J))</f>
        <v>0</v>
      </c>
      <c r="H39" s="33">
        <f>IF(Tabela2[[#This Row],[ TURBINA]]="","",COUNTIFS(Dados_Brutos!D:D,A39,Dados_Brutos!K:K,"*Baixo*"))</f>
        <v>3</v>
      </c>
      <c r="I39" s="33">
        <f>IF(Tabela2[[#This Row],[ TURBINA]]="","",COUNTIFS(Dados_Brutos!D:D,A39,Dados_Brutos!K:K,"*Médio*"))</f>
        <v>0</v>
      </c>
      <c r="J39" s="33">
        <f>IF(Tabela2[[#This Row],[ TURBINA]]="","",COUNTIFS(Dados_Brutos!D:D,A39,Dados_Brutos!K:K,"*Alto*"))</f>
        <v>0</v>
      </c>
      <c r="K39" s="33" t="str">
        <f>IF(Tabela2[[#This Row],[ TURBINA]]="","",IF(AND(C39&gt;20,J39&gt;3),"🟥 ALTO RISCO",IF(AND(C39&gt;10,I39&gt;1),"🟨 MÉDIO RISCO","🟩 BAIXO RISCO")))</f>
        <v>🟩 BAIXO RISCO</v>
      </c>
      <c r="L39" s="67">
        <f>Tabela2[[#This Row],[ TOTAL IMAS TROCADOS]]*Config!$B$2</f>
        <v>0</v>
      </c>
      <c r="M39" s="49" t="str">
        <f t="shared" ca="1" si="7"/>
        <v>Sem dados</v>
      </c>
      <c r="N39" s="49" t="str">
        <f t="shared" si="8"/>
        <v>Sem dados</v>
      </c>
      <c r="O39" s="34">
        <f t="shared" si="2"/>
        <v>45949</v>
      </c>
      <c r="P39" s="36">
        <f t="shared" ca="1" si="9"/>
        <v>1</v>
      </c>
    </row>
    <row r="40" spans="1:16" x14ac:dyDescent="0.3">
      <c r="A40" s="15" t="s">
        <v>184</v>
      </c>
      <c r="B40" s="15" t="str">
        <f>IF(Tabela2[[#This Row],[ TURBINA]]="","",_xlfn.XLOOKUP(Tabela2[[#This Row],[ TURBINA]],Tabela1[TURBINA],Tabela1[CLUSTER]))</f>
        <v>Garrote</v>
      </c>
      <c r="C40" s="15">
        <f>IF(Tabela2[[#This Row],[ TURBINA]]="","",SUMIF(Dados_Brutos!D:D,A40,Dados_Brutos!E:E))</f>
        <v>120</v>
      </c>
      <c r="D40" s="16" cm="1">
        <f t="array" ref="D40">IF(Tabela2[[#This Row],[ TURBINA]]="","",MIN(IF(Dados_Brutos!D:D=Tabela2[[#This Row],[ TURBINA]],Dados_Brutos!A:A)))</f>
        <v>45436</v>
      </c>
      <c r="E40" s="16" cm="1">
        <f t="array" ref="E40">IF(Tabela2[[#This Row],[ TURBINA]]="","",MAX(IF(Tabela1[TURBINA] =Tabela2[[#This Row],[ TURBINA]],Tabela1[DATA INSPECAO])))</f>
        <v>45770</v>
      </c>
      <c r="F40" s="15" t="str">
        <f>IFERROR(INDEX(Dados_Brutos!H:H,MATCH(A40,Dados_Brutos!D:D,0)),"")</f>
        <v>Em Operação</v>
      </c>
      <c r="G40" s="15">
        <f>IF(Tabela2[[#This Row],[ TURBINA]]="","",SUMIF(Dados_Brutos!D:D,A40,Dados_Brutos!J:J))</f>
        <v>2</v>
      </c>
      <c r="H40" s="15">
        <f>IF(Tabela2[[#This Row],[ TURBINA]]="","",COUNTIFS(Dados_Brutos!D:D,A40,Dados_Brutos!K:K,"*Baixo*"))</f>
        <v>0</v>
      </c>
      <c r="I40" s="15">
        <f>IF(Tabela2[[#This Row],[ TURBINA]]="","",COUNTIFS(Dados_Brutos!D:D,A40,Dados_Brutos!K:K,"*Médio*"))</f>
        <v>2</v>
      </c>
      <c r="J40" s="15">
        <f>IF(Tabela2[[#This Row],[ TURBINA]]="","",COUNTIFS(Dados_Brutos!D:D,A40,Dados_Brutos!K:K,"*Alto*"))</f>
        <v>1</v>
      </c>
      <c r="K40" s="15" t="str">
        <f>IF(Tabela2[[#This Row],[ TURBINA]]="","",IF(AND(C40&gt;20,J40&gt;3),"🟥 ALTO RISCO",IF(AND(C40&gt;10,I40&gt;1),"🟨 MÉDIO RISCO","🟩 BAIXO RISCO")))</f>
        <v>🟨 MÉDIO RISCO</v>
      </c>
      <c r="L40" s="50">
        <f>Tabela2[[#This Row],[ TOTAL IMAS TROCADOS]]*Config!$B$2</f>
        <v>153863.37599999999</v>
      </c>
      <c r="M40" s="48">
        <f t="shared" ca="1" si="7"/>
        <v>4.4833333333333334</v>
      </c>
      <c r="N40" s="48">
        <f t="shared" si="8"/>
        <v>1.6666666666666666E-2</v>
      </c>
      <c r="O40" s="16">
        <f t="shared" si="2"/>
        <v>45984</v>
      </c>
      <c r="P40" s="17">
        <f t="shared" ca="1" si="9"/>
        <v>0.99628252788104088</v>
      </c>
    </row>
    <row r="41" spans="1:16" x14ac:dyDescent="0.3">
      <c r="A41" s="15" t="s">
        <v>214</v>
      </c>
      <c r="B41" s="15" t="str">
        <f>IF(Tabela2[[#This Row],[ TURBINA]]="","",_xlfn.XLOOKUP(Tabela2[[#This Row],[ TURBINA]],Tabela1[TURBINA],Tabela1[CLUSTER]))</f>
        <v>Santo Inacio IV</v>
      </c>
      <c r="C41" s="15">
        <f>IF(Tabela2[[#This Row],[ TURBINA]]="","",SUMIF(Dados_Brutos!D:D,A41,Dados_Brutos!E:E))</f>
        <v>0</v>
      </c>
      <c r="D41" s="16" cm="1">
        <f t="array" ref="D41">IF(Tabela2[[#This Row],[ TURBINA]]="","",MIN(IF(Dados_Brutos!D:D=Tabela2[[#This Row],[ TURBINA]],Dados_Brutos!A:A)))</f>
        <v>45455</v>
      </c>
      <c r="E41" s="16" cm="1">
        <f t="array" ref="E41">IF(Tabela2[[#This Row],[ TURBINA]]="","",MAX(IF(Tabela1[TURBINA] =Tabela2[[#This Row],[ TURBINA]],Tabela1[DATA INSPECAO])))</f>
        <v>45631</v>
      </c>
      <c r="F41" s="15" t="str">
        <f>IFERROR(INDEX(Dados_Brutos!H:H,MATCH(A41,Dados_Brutos!D:D,0)),"")</f>
        <v>Em Operação</v>
      </c>
      <c r="G41" s="15">
        <f>IF(Tabela2[[#This Row],[ TURBINA]]="","",SUMIF(Dados_Brutos!D:D,A41,Dados_Brutos!J:J))</f>
        <v>0</v>
      </c>
      <c r="H41" s="15">
        <f>IF(Tabela2[[#This Row],[ TURBINA]]="","",COUNTIFS(Dados_Brutos!D:D,A41,Dados_Brutos!K:K,"*Baixo*"))</f>
        <v>0</v>
      </c>
      <c r="I41" s="15">
        <f>IF(Tabela2[[#This Row],[ TURBINA]]="","",COUNTIFS(Dados_Brutos!D:D,A41,Dados_Brutos!K:K,"*Médio*"))</f>
        <v>3</v>
      </c>
      <c r="J41" s="15">
        <f>IF(Tabela2[[#This Row],[ TURBINA]]="","",COUNTIFS(Dados_Brutos!D:D,A41,Dados_Brutos!K:K,"*Alto*"))</f>
        <v>0</v>
      </c>
      <c r="K41" s="15" t="str">
        <f>IF(Tabela2[[#This Row],[ TURBINA]]="","",IF(AND(C41&gt;20,J41&gt;3),"🟥 ALTO RISCO",IF(AND(C41&gt;10,I41&gt;1),"🟨 MÉDIO RISCO","🟩 BAIXO RISCO")))</f>
        <v>🟩 BAIXO RISCO</v>
      </c>
      <c r="L41" s="50">
        <f>Tabela2[[#This Row],[ TOTAL IMAS TROCADOS]]*Config!$B$2</f>
        <v>0</v>
      </c>
      <c r="M41" s="48" t="str">
        <f t="shared" ca="1" si="7"/>
        <v>Sem dados</v>
      </c>
      <c r="N41" s="48" t="str">
        <f t="shared" si="8"/>
        <v>Sem dados</v>
      </c>
      <c r="O41" s="16">
        <f t="shared" si="2"/>
        <v>45843</v>
      </c>
      <c r="P41" s="17">
        <f t="shared" ca="1" si="9"/>
        <v>1</v>
      </c>
    </row>
    <row r="42" spans="1:16" x14ac:dyDescent="0.3">
      <c r="A42" s="15" t="s">
        <v>185</v>
      </c>
      <c r="B42" s="15" t="str">
        <f>IF(Tabela2[[#This Row],[ TURBINA]]="","",_xlfn.XLOOKUP(Tabela2[[#This Row],[ TURBINA]],Tabela1[TURBINA],Tabela1[CLUSTER]))</f>
        <v>Garrote</v>
      </c>
      <c r="C42" s="15">
        <f>IF(Tabela2[[#This Row],[ TURBINA]]="","",SUMIF(Dados_Brutos!D:D,A42,Dados_Brutos!E:E))</f>
        <v>3</v>
      </c>
      <c r="D42" s="16" cm="1">
        <f t="array" ref="D42">IF(Tabela2[[#This Row],[ TURBINA]]="","",MIN(IF(Dados_Brutos!D:D=Tabela2[[#This Row],[ TURBINA]],Dados_Brutos!A:A)))</f>
        <v>45432</v>
      </c>
      <c r="E42" s="16" cm="1">
        <f t="array" ref="E42">IF(Tabela2[[#This Row],[ TURBINA]]="","",MAX(IF(Tabela1[TURBINA] =Tabela2[[#This Row],[ TURBINA]],Tabela1[DATA INSPECAO])))</f>
        <v>45937</v>
      </c>
      <c r="F42" s="15" t="str">
        <f>IFERROR(INDEX(Dados_Brutos!H:H,MATCH(A42,Dados_Brutos!D:D,0)),"")</f>
        <v>Em Operação</v>
      </c>
      <c r="G42" s="15">
        <f>IF(Tabela2[[#This Row],[ TURBINA]]="","",SUMIF(Dados_Brutos!D:D,A42,Dados_Brutos!J:J))</f>
        <v>18</v>
      </c>
      <c r="H42" s="15">
        <f>IF(Tabela2[[#This Row],[ TURBINA]]="","",COUNTIFS(Dados_Brutos!D:D,A42,Dados_Brutos!K:K,"*Baixo*"))</f>
        <v>4</v>
      </c>
      <c r="I42" s="15">
        <f>IF(Tabela2[[#This Row],[ TURBINA]]="","",COUNTIFS(Dados_Brutos!D:D,A42,Dados_Brutos!K:K,"*Médio*"))</f>
        <v>0</v>
      </c>
      <c r="J42" s="15">
        <f>IF(Tabela2[[#This Row],[ TURBINA]]="","",COUNTIFS(Dados_Brutos!D:D,A42,Dados_Brutos!K:K,"*Alto*"))</f>
        <v>0</v>
      </c>
      <c r="K42" s="15" t="str">
        <f>IF(Tabela2[[#This Row],[ TURBINA]]="","",IF(AND(C42&gt;20,J42&gt;3),"🟥 ALTO RISCO",IF(AND(C42&gt;10,I42&gt;1),"🟨 MÉDIO RISCO","🟩 BAIXO RISCO")))</f>
        <v>🟩 BAIXO RISCO</v>
      </c>
      <c r="L42" s="50">
        <f>Tabela2[[#This Row],[ TOTAL IMAS TROCADOS]]*Config!$B$2</f>
        <v>3846.5843999999997</v>
      </c>
      <c r="M42" s="48">
        <f t="shared" ca="1" si="7"/>
        <v>180.66666666666666</v>
      </c>
      <c r="N42" s="48">
        <f t="shared" si="8"/>
        <v>6</v>
      </c>
      <c r="O42" s="16">
        <f t="shared" si="2"/>
        <v>46149</v>
      </c>
      <c r="P42" s="17">
        <f t="shared" ca="1" si="9"/>
        <v>0.96678966789667897</v>
      </c>
    </row>
    <row r="43" spans="1:16" x14ac:dyDescent="0.3">
      <c r="A43" s="15" t="s">
        <v>215</v>
      </c>
      <c r="B43" s="15" t="str">
        <f>IF(Tabela2[[#This Row],[ TURBINA]]="","",_xlfn.XLOOKUP(Tabela2[[#This Row],[ TURBINA]],Tabela1[TURBINA],Tabela1[CLUSTER]))</f>
        <v>Santo Inacio IV</v>
      </c>
      <c r="C43" s="15">
        <f>IF(Tabela2[[#This Row],[ TURBINA]]="","",SUMIF(Dados_Brutos!D:D,A43,Dados_Brutos!E:E))</f>
        <v>0</v>
      </c>
      <c r="D43" s="16" cm="1">
        <f t="array" ref="D43">IF(Tabela2[[#This Row],[ TURBINA]]="","",MIN(IF(Dados_Brutos!D:D=Tabela2[[#This Row],[ TURBINA]],Dados_Brutos!A:A)))</f>
        <v>45463</v>
      </c>
      <c r="E43" s="16" cm="1">
        <f t="array" ref="E43">IF(Tabela2[[#This Row],[ TURBINA]]="","",MAX(IF(Tabela1[TURBINA] =Tabela2[[#This Row],[ TURBINA]],Tabela1[DATA INSPECAO])))</f>
        <v>45639</v>
      </c>
      <c r="F43" s="15" t="str">
        <f>IFERROR(INDEX(Dados_Brutos!H:H,MATCH(A43,Dados_Brutos!D:D,0)),"")</f>
        <v>Em Operação</v>
      </c>
      <c r="G43" s="15">
        <f>IF(Tabela2[[#This Row],[ TURBINA]]="","",SUMIF(Dados_Brutos!D:D,A43,Dados_Brutos!J:J))</f>
        <v>0</v>
      </c>
      <c r="H43" s="15">
        <f>IF(Tabela2[[#This Row],[ TURBINA]]="","",COUNTIFS(Dados_Brutos!D:D,A43,Dados_Brutos!K:K,"*Baixo*"))</f>
        <v>3</v>
      </c>
      <c r="I43" s="15">
        <f>IF(Tabela2[[#This Row],[ TURBINA]]="","",COUNTIFS(Dados_Brutos!D:D,A43,Dados_Brutos!K:K,"*Médio*"))</f>
        <v>0</v>
      </c>
      <c r="J43" s="15">
        <f>IF(Tabela2[[#This Row],[ TURBINA]]="","",COUNTIFS(Dados_Brutos!D:D,A43,Dados_Brutos!K:K,"*Alto*"))</f>
        <v>0</v>
      </c>
      <c r="K43" s="15" t="str">
        <f>IF(Tabela2[[#This Row],[ TURBINA]]="","",IF(AND(C43&gt;20,J43&gt;3),"🟥 ALTO RISCO",IF(AND(C43&gt;10,I43&gt;1),"🟨 MÉDIO RISCO","🟩 BAIXO RISCO")))</f>
        <v>🟩 BAIXO RISCO</v>
      </c>
      <c r="L43" s="50">
        <f>Tabela2[[#This Row],[ TOTAL IMAS TROCADOS]]*Config!$B$2</f>
        <v>0</v>
      </c>
      <c r="M43" s="48" t="str">
        <f t="shared" ca="1" si="7"/>
        <v>Sem dados</v>
      </c>
      <c r="N43" s="48" t="str">
        <f t="shared" si="8"/>
        <v>Sem dados</v>
      </c>
      <c r="O43" s="16">
        <f t="shared" si="2"/>
        <v>45851</v>
      </c>
      <c r="P43" s="17">
        <f t="shared" ca="1" si="9"/>
        <v>1</v>
      </c>
    </row>
    <row r="44" spans="1:16" x14ac:dyDescent="0.3">
      <c r="A44" s="33" t="s">
        <v>186</v>
      </c>
      <c r="B44" s="33" t="str">
        <f>IF(Tabela2[[#This Row],[ TURBINA]]="","",_xlfn.XLOOKUP(Tabela2[[#This Row],[ TURBINA]],Tabela1[TURBINA],Tabela1[CLUSTER]))</f>
        <v>Garrote</v>
      </c>
      <c r="C44" s="33">
        <f>IF(Tabela2[[#This Row],[ TURBINA]]="","",SUMIF(Dados_Brutos!D:D,A44,Dados_Brutos!E:E))</f>
        <v>0</v>
      </c>
      <c r="D44" s="34" cm="1">
        <f t="array" ref="D44">IF(Tabela2[[#This Row],[ TURBINA]]="","",MIN(IF(Dados_Brutos!D:D=Tabela2[[#This Row],[ TURBINA]],Dados_Brutos!A:A)))</f>
        <v>45435</v>
      </c>
      <c r="E44" s="34" cm="1">
        <f t="array" ref="E44">IF(Tabela2[[#This Row],[ TURBINA]]="","",MAX(IF(Tabela1[TURBINA] =Tabela2[[#This Row],[ TURBINA]],Tabela1[DATA INSPECAO])))</f>
        <v>45769</v>
      </c>
      <c r="F44" s="33" t="str">
        <f>IFERROR(INDEX(Dados_Brutos!H:H,MATCH(A44,Dados_Brutos!D:D,0)),"")</f>
        <v>Em Operação</v>
      </c>
      <c r="G44" s="33">
        <f>IF(Tabela2[[#This Row],[ TURBINA]]="","",SUMIF(Dados_Brutos!D:D,A44,Dados_Brutos!J:J))</f>
        <v>0</v>
      </c>
      <c r="H44" s="33">
        <f>IF(Tabela2[[#This Row],[ TURBINA]]="","",COUNTIFS(Dados_Brutos!D:D,A44,Dados_Brutos!K:K,"*Baixo*"))</f>
        <v>3</v>
      </c>
      <c r="I44" s="33">
        <f>IF(Tabela2[[#This Row],[ TURBINA]]="","",COUNTIFS(Dados_Brutos!D:D,A44,Dados_Brutos!K:K,"*Médio*"))</f>
        <v>0</v>
      </c>
      <c r="J44" s="33">
        <f>IF(Tabela2[[#This Row],[ TURBINA]]="","",COUNTIFS(Dados_Brutos!D:D,A44,Dados_Brutos!K:K,"*Alto*"))</f>
        <v>0</v>
      </c>
      <c r="K44" s="33" t="str">
        <f>IF(Tabela2[[#This Row],[ TURBINA]]="","",IF(AND(C44&gt;20,J44&gt;3),"🟥 ALTO RISCO",IF(AND(C44&gt;10,I44&gt;1),"🟨 MÉDIO RISCO","🟩 BAIXO RISCO")))</f>
        <v>🟩 BAIXO RISCO</v>
      </c>
      <c r="L44" s="67">
        <f>Tabela2[[#This Row],[ TOTAL IMAS TROCADOS]]*Config!$B$2</f>
        <v>0</v>
      </c>
      <c r="M44" s="49" t="str">
        <f t="shared" ca="1" si="7"/>
        <v>Sem dados</v>
      </c>
      <c r="N44" s="49" t="str">
        <f t="shared" si="8"/>
        <v>Sem dados</v>
      </c>
      <c r="O44" s="34">
        <f t="shared" si="2"/>
        <v>45983</v>
      </c>
      <c r="P44" s="36">
        <f t="shared" ca="1" si="9"/>
        <v>1</v>
      </c>
    </row>
    <row r="45" spans="1:16" x14ac:dyDescent="0.3">
      <c r="A45" s="15" t="s">
        <v>187</v>
      </c>
      <c r="B45" s="15" t="str">
        <f>IF(Tabela2[[#This Row],[ TURBINA]]="","",_xlfn.XLOOKUP(Tabela2[[#This Row],[ TURBINA]],Tabela1[TURBINA],Tabela1[CLUSTER]))</f>
        <v>Garrote</v>
      </c>
      <c r="C45" s="15">
        <f>IF(Tabela2[[#This Row],[ TURBINA]]="","",SUMIF(Dados_Brutos!D:D,A45,Dados_Brutos!E:E))</f>
        <v>23</v>
      </c>
      <c r="D45" s="16" cm="1">
        <f t="array" ref="D45">IF(Tabela2[[#This Row],[ TURBINA]]="","",MIN(IF(Dados_Brutos!D:D=Tabela2[[#This Row],[ TURBINA]],Dados_Brutos!A:A)))</f>
        <v>45454</v>
      </c>
      <c r="E45" s="16" cm="1">
        <f t="array" ref="E45">IF(Tabela2[[#This Row],[ TURBINA]]="","",MAX(IF(Tabela1[TURBINA] =Tabela2[[#This Row],[ TURBINA]],Tabela1[DATA INSPECAO])))</f>
        <v>45754</v>
      </c>
      <c r="F45" s="15" t="str">
        <f>IFERROR(INDEX(Dados_Brutos!H:H,MATCH(A45,Dados_Brutos!D:D,0)),"")</f>
        <v>Fora de Operação</v>
      </c>
      <c r="G45" s="15">
        <f>IF(Tabela2[[#This Row],[ TURBINA]]="","",SUMIF(Dados_Brutos!D:D,A45,Dados_Brutos!J:J))</f>
        <v>29</v>
      </c>
      <c r="H45" s="15">
        <f>IF(Tabela2[[#This Row],[ TURBINA]]="","",COUNTIFS(Dados_Brutos!D:D,A45,Dados_Brutos!K:K,"*Baixo*"))</f>
        <v>2</v>
      </c>
      <c r="I45" s="15">
        <f>IF(Tabela2[[#This Row],[ TURBINA]]="","",COUNTIFS(Dados_Brutos!D:D,A45,Dados_Brutos!K:K,"*Médio*"))</f>
        <v>0</v>
      </c>
      <c r="J45" s="15">
        <f>IF(Tabela2[[#This Row],[ TURBINA]]="","",COUNTIFS(Dados_Brutos!D:D,A45,Dados_Brutos!K:K,"*Alto*"))</f>
        <v>2</v>
      </c>
      <c r="K45" s="15" t="str">
        <f>IF(Tabela2[[#This Row],[ TURBINA]]="","",IF(AND(C45&gt;20,J45&gt;3),"🟥 ALTO RISCO",IF(AND(C45&gt;10,I45&gt;1),"🟨 MÉDIO RISCO","🟩 BAIXO RISCO")))</f>
        <v>🟩 BAIXO RISCO</v>
      </c>
      <c r="L45" s="50">
        <f>Tabela2[[#This Row],[ TOTAL IMAS TROCADOS]]*Config!$B$2</f>
        <v>29490.4804</v>
      </c>
      <c r="M45" s="48">
        <f t="shared" ca="1" si="7"/>
        <v>22.608695652173914</v>
      </c>
      <c r="N45" s="48">
        <f t="shared" si="8"/>
        <v>1.2608695652173914</v>
      </c>
      <c r="O45" s="16">
        <f t="shared" si="2"/>
        <v>45968</v>
      </c>
      <c r="P45" s="17">
        <f t="shared" ca="1" si="9"/>
        <v>0.94423076923076921</v>
      </c>
    </row>
    <row r="46" spans="1:16" x14ac:dyDescent="0.3">
      <c r="A46" s="15" t="s">
        <v>188</v>
      </c>
      <c r="B46" s="15" t="str">
        <f>IF(Tabela2[[#This Row],[ TURBINA]]="","",_xlfn.XLOOKUP(Tabela2[[#This Row],[ TURBINA]],Tabela1[TURBINA],Tabela1[CLUSTER]))</f>
        <v>Garrote</v>
      </c>
      <c r="C46" s="15">
        <f>IF(Tabela2[[#This Row],[ TURBINA]]="","",SUMIF(Dados_Brutos!D:D,A46,Dados_Brutos!E:E))</f>
        <v>100</v>
      </c>
      <c r="D46" s="16" cm="1">
        <f t="array" ref="D46">IF(Tabela2[[#This Row],[ TURBINA]]="","",MIN(IF(Dados_Brutos!D:D=Tabela2[[#This Row],[ TURBINA]],Dados_Brutos!A:A)))</f>
        <v>45384</v>
      </c>
      <c r="E46" s="16" cm="1">
        <f t="array" ref="E46">IF(Tabela2[[#This Row],[ TURBINA]]="","",MAX(IF(Tabela1[TURBINA] =Tabela2[[#This Row],[ TURBINA]],Tabela1[DATA INSPECAO])))</f>
        <v>45966</v>
      </c>
      <c r="F46" s="15" t="str">
        <f>IFERROR(INDEX(Dados_Brutos!H:H,MATCH(A46,Dados_Brutos!D:D,0)),"")</f>
        <v>Fora de Operação</v>
      </c>
      <c r="G46" s="15">
        <f>IF(Tabela2[[#This Row],[ TURBINA]]="","",SUMIF(Dados_Brutos!D:D,A46,Dados_Brutos!J:J))</f>
        <v>198</v>
      </c>
      <c r="H46" s="15">
        <f>IF(Tabela2[[#This Row],[ TURBINA]]="","",COUNTIFS(Dados_Brutos!D:D,A46,Dados_Brutos!K:K,"*Baixo*"))</f>
        <v>4</v>
      </c>
      <c r="I46" s="15">
        <f>IF(Tabela2[[#This Row],[ TURBINA]]="","",COUNTIFS(Dados_Brutos!D:D,A46,Dados_Brutos!K:K,"*Médio*"))</f>
        <v>0</v>
      </c>
      <c r="J46" s="15">
        <f>IF(Tabela2[[#This Row],[ TURBINA]]="","",COUNTIFS(Dados_Brutos!D:D,A46,Dados_Brutos!K:K,"*Alto*"))</f>
        <v>0</v>
      </c>
      <c r="K46" s="15" t="str">
        <f>IF(Tabela2[[#This Row],[ TURBINA]]="","",IF(AND(C46&gt;20,J46&gt;3),"🟥 ALTO RISCO",IF(AND(C46&gt;10,I46&gt;1),"🟨 MÉDIO RISCO","🟩 BAIXO RISCO")))</f>
        <v>🟩 BAIXO RISCO</v>
      </c>
      <c r="L46" s="50">
        <f>Tabela2[[#This Row],[ TOTAL IMAS TROCADOS]]*Config!$B$2</f>
        <v>128219.48</v>
      </c>
      <c r="M46" s="48">
        <f t="shared" ca="1" si="7"/>
        <v>5.9</v>
      </c>
      <c r="N46" s="48">
        <f t="shared" si="8"/>
        <v>1.98</v>
      </c>
      <c r="O46" s="16">
        <f t="shared" si="2"/>
        <v>46178</v>
      </c>
      <c r="P46" s="17">
        <f t="shared" ca="1" si="9"/>
        <v>0.66440677966101691</v>
      </c>
    </row>
    <row r="47" spans="1:16" x14ac:dyDescent="0.3">
      <c r="A47" s="15" t="s">
        <v>189</v>
      </c>
      <c r="B47" s="15" t="str">
        <f>IF(Tabela2[[#This Row],[ TURBINA]]="","",_xlfn.XLOOKUP(Tabela2[[#This Row],[ TURBINA]],Tabela1[TURBINA],Tabela1[CLUSTER]))</f>
        <v>Garrote</v>
      </c>
      <c r="C47" s="15">
        <f>IF(Tabela2[[#This Row],[ TURBINA]]="","",SUMIF(Dados_Brutos!D:D,A47,Dados_Brutos!E:E))</f>
        <v>20</v>
      </c>
      <c r="D47" s="16" cm="1">
        <f t="array" ref="D47">IF(Tabela2[[#This Row],[ TURBINA]]="","",MIN(IF(Dados_Brutos!D:D=Tabela2[[#This Row],[ TURBINA]],Dados_Brutos!A:A)))</f>
        <v>45433</v>
      </c>
      <c r="E47" s="16" cm="1">
        <f t="array" ref="E47">IF(Tabela2[[#This Row],[ TURBINA]]="","",MAX(IF(Tabela1[TURBINA] =Tabela2[[#This Row],[ TURBINA]],Tabela1[DATA INSPECAO])))</f>
        <v>45733</v>
      </c>
      <c r="F47" s="15" t="str">
        <f>IFERROR(INDEX(Dados_Brutos!H:H,MATCH(A47,Dados_Brutos!D:D,0)),"")</f>
        <v>Fora de Operação</v>
      </c>
      <c r="G47" s="15">
        <f>IF(Tabela2[[#This Row],[ TURBINA]]="","",SUMIF(Dados_Brutos!D:D,A47,Dados_Brutos!J:J))</f>
        <v>24</v>
      </c>
      <c r="H47" s="15">
        <f>IF(Tabela2[[#This Row],[ TURBINA]]="","",COUNTIFS(Dados_Brutos!D:D,A47,Dados_Brutos!K:K,"*Baixo*"))</f>
        <v>2</v>
      </c>
      <c r="I47" s="15">
        <f>IF(Tabela2[[#This Row],[ TURBINA]]="","",COUNTIFS(Dados_Brutos!D:D,A47,Dados_Brutos!K:K,"*Médio*"))</f>
        <v>0</v>
      </c>
      <c r="J47" s="15">
        <f>IF(Tabela2[[#This Row],[ TURBINA]]="","",COUNTIFS(Dados_Brutos!D:D,A47,Dados_Brutos!K:K,"*Alto*"))</f>
        <v>1</v>
      </c>
      <c r="K47" s="15" t="str">
        <f>IF(Tabela2[[#This Row],[ TURBINA]]="","",IF(AND(C47&gt;20,J47&gt;3),"🟥 ALTO RISCO",IF(AND(C47&gt;10,I47&gt;1),"🟨 MÉDIO RISCO","🟩 BAIXO RISCO")))</f>
        <v>🟩 BAIXO RISCO</v>
      </c>
      <c r="L47" s="50">
        <f>Tabela2[[#This Row],[ TOTAL IMAS TROCADOS]]*Config!$B$2</f>
        <v>25643.896000000001</v>
      </c>
      <c r="M47" s="48">
        <f t="shared" ca="1" si="7"/>
        <v>27.05</v>
      </c>
      <c r="N47" s="48">
        <f t="shared" si="8"/>
        <v>1.2</v>
      </c>
      <c r="O47" s="16">
        <f t="shared" si="2"/>
        <v>45947</v>
      </c>
      <c r="P47" s="17">
        <f t="shared" ca="1" si="9"/>
        <v>0.95563770794824399</v>
      </c>
    </row>
    <row r="48" spans="1:16" x14ac:dyDescent="0.3">
      <c r="A48" s="15" t="s">
        <v>190</v>
      </c>
      <c r="B48" s="15" t="str">
        <f>IF(Tabela2[[#This Row],[ TURBINA]]="","",_xlfn.XLOOKUP(Tabela2[[#This Row],[ TURBINA]],Tabela1[TURBINA],Tabela1[CLUSTER]))</f>
        <v>Garrote</v>
      </c>
      <c r="C48" s="15">
        <f>IF(Tabela2[[#This Row],[ TURBINA]]="","",SUMIF(Dados_Brutos!D:D,A48,Dados_Brutos!E:E))</f>
        <v>0</v>
      </c>
      <c r="D48" s="16" cm="1">
        <f t="array" ref="D48">IF(Tabela2[[#This Row],[ TURBINA]]="","",MIN(IF(Dados_Brutos!D:D=Tabela2[[#This Row],[ TURBINA]],Dados_Brutos!A:A)))</f>
        <v>45434</v>
      </c>
      <c r="E48" s="16" cm="1">
        <f t="array" ref="E48">IF(Tabela2[[#This Row],[ TURBINA]]="","",MAX(IF(Tabela1[TURBINA] =Tabela2[[#This Row],[ TURBINA]],Tabela1[DATA INSPECAO])))</f>
        <v>45756</v>
      </c>
      <c r="F48" s="15" t="str">
        <f>IFERROR(INDEX(Dados_Brutos!H:H,MATCH(A48,Dados_Brutos!D:D,0)),"")</f>
        <v>Em Operação</v>
      </c>
      <c r="G48" s="15">
        <f>IF(Tabela2[[#This Row],[ TURBINA]]="","",SUMIF(Dados_Brutos!D:D,A48,Dados_Brutos!J:J))</f>
        <v>0</v>
      </c>
      <c r="H48" s="15">
        <f>IF(Tabela2[[#This Row],[ TURBINA]]="","",COUNTIFS(Dados_Brutos!D:D,A48,Dados_Brutos!K:K,"*Baixo*"))</f>
        <v>3</v>
      </c>
      <c r="I48" s="15">
        <f>IF(Tabela2[[#This Row],[ TURBINA]]="","",COUNTIFS(Dados_Brutos!D:D,A48,Dados_Brutos!K:K,"*Médio*"))</f>
        <v>0</v>
      </c>
      <c r="J48" s="15">
        <f>IF(Tabela2[[#This Row],[ TURBINA]]="","",COUNTIFS(Dados_Brutos!D:D,A48,Dados_Brutos!K:K,"*Alto*"))</f>
        <v>0</v>
      </c>
      <c r="K48" s="15" t="str">
        <f>IF(Tabela2[[#This Row],[ TURBINA]]="","",IF(AND(C48&gt;20,J48&gt;3),"🟥 ALTO RISCO",IF(AND(C48&gt;10,I48&gt;1),"🟨 MÉDIO RISCO","🟩 BAIXO RISCO")))</f>
        <v>🟩 BAIXO RISCO</v>
      </c>
      <c r="L48" s="50">
        <f>Tabela2[[#This Row],[ TOTAL IMAS TROCADOS]]*Config!$B$2</f>
        <v>0</v>
      </c>
      <c r="M48" s="48" t="str">
        <f t="shared" ca="1" si="7"/>
        <v>Sem dados</v>
      </c>
      <c r="N48" s="48" t="str">
        <f t="shared" si="8"/>
        <v>Sem dados</v>
      </c>
      <c r="O48" s="16">
        <f t="shared" si="2"/>
        <v>45970</v>
      </c>
      <c r="P48" s="17">
        <f t="shared" ca="1" si="9"/>
        <v>1</v>
      </c>
    </row>
  </sheetData>
  <conditionalFormatting sqref="F2:F48">
    <cfRule type="expression" dxfId="154" priority="1">
      <formula>$F2="Fora de Operação"</formula>
    </cfRule>
  </conditionalFormatting>
  <conditionalFormatting sqref="K2:K48">
    <cfRule type="containsText" dxfId="153" priority="2" operator="containsText" text="ALTO RISCO">
      <formula>NOT(ISERROR(SEARCH("ALTO RISCO",K2)))</formula>
    </cfRule>
    <cfRule type="containsText" dxfId="152" priority="3" operator="containsText" text="MÉDIO RISCO">
      <formula>NOT(ISERROR(SEARCH("MÉDIO RISCO",K2)))</formula>
    </cfRule>
    <cfRule type="containsText" dxfId="151" priority="4" operator="containsText" text="BAIXO RISCO">
      <formula>NOT(ISERROR(SEARCH("BAIXO RISCO",K2)))</formula>
    </cfRule>
  </conditionalFormatting>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BE76A-6E54-4073-B02D-A826085876A6}">
  <dimension ref="A1:L20"/>
  <sheetViews>
    <sheetView zoomScale="70" zoomScaleNormal="70" workbookViewId="0">
      <pane ySplit="1" topLeftCell="A2" activePane="bottomLeft" state="frozen"/>
      <selection activeCell="B1" sqref="B1"/>
      <selection pane="bottomLeft" activeCell="H12" sqref="H12"/>
    </sheetView>
  </sheetViews>
  <sheetFormatPr defaultRowHeight="14.4" x14ac:dyDescent="0.3"/>
  <cols>
    <col min="1" max="1" width="16.109375" style="3" customWidth="1"/>
    <col min="2" max="2" width="11" style="3" bestFit="1" customWidth="1"/>
    <col min="3" max="3" width="21.44140625" style="3" bestFit="1" customWidth="1"/>
    <col min="4" max="4" width="20" style="3" bestFit="1" customWidth="1"/>
    <col min="5" max="5" width="20" style="3" customWidth="1"/>
    <col min="6" max="6" width="27.21875" style="3" bestFit="1" customWidth="1"/>
    <col min="7" max="7" width="21.5546875" style="3" bestFit="1" customWidth="1"/>
    <col min="8" max="8" width="16.21875" style="3" bestFit="1" customWidth="1"/>
    <col min="9" max="9" width="20.77734375" style="3" bestFit="1" customWidth="1"/>
    <col min="10" max="10" width="18.77734375" style="3" bestFit="1" customWidth="1"/>
    <col min="11" max="11" width="14.21875" style="3" bestFit="1" customWidth="1"/>
    <col min="12" max="16384" width="8.88671875" style="3"/>
  </cols>
  <sheetData>
    <row r="1" spans="1:10" ht="37.049999999999997" customHeight="1" x14ac:dyDescent="0.3">
      <c r="A1" s="4" t="s">
        <v>20</v>
      </c>
      <c r="B1" s="4" t="s">
        <v>21</v>
      </c>
      <c r="C1" s="4" t="s">
        <v>22</v>
      </c>
      <c r="D1" s="4" t="s">
        <v>23</v>
      </c>
      <c r="E1" s="4" t="s">
        <v>49</v>
      </c>
      <c r="F1" s="4" t="s">
        <v>24</v>
      </c>
      <c r="G1" s="4" t="s">
        <v>25</v>
      </c>
      <c r="H1" s="4" t="s">
        <v>26</v>
      </c>
      <c r="I1" s="4" t="s">
        <v>27</v>
      </c>
      <c r="J1" s="4" t="s">
        <v>28</v>
      </c>
    </row>
    <row r="2" spans="1:10" x14ac:dyDescent="0.3">
      <c r="A2" s="68" t="s">
        <v>17</v>
      </c>
      <c r="B2" s="7">
        <f>IF(A2="Primeiro Ciclo", 2024, IF(A2="Segundo Ciclo", 2024, 2025))</f>
        <v>2024</v>
      </c>
      <c r="C2" s="20">
        <f>COUNTIF(Dados_Brutos!G:G,A2)</f>
        <v>46</v>
      </c>
      <c r="D2" s="20">
        <f>COUNTIFS(Dados_Brutos!$G:$G,$A2,Dados_Brutos!$F:$F,"Substituido")</f>
        <v>20</v>
      </c>
      <c r="E2" s="20">
        <f>COUNTIFS(Dados_Brutos!$G:$G,$A2,Dados_Brutos!$H:$H,"Fora de Operação")</f>
        <v>19</v>
      </c>
      <c r="F2" s="20">
        <f>SUMIF(Dados_Brutos!G:G,A2,Dados_Brutos!E:E)</f>
        <v>1262</v>
      </c>
      <c r="G2" s="20">
        <f>COUNTIFS(Dados_Brutos!G:G,A2,Dados_Brutos!K:K,"*Baixo*")</f>
        <v>29</v>
      </c>
      <c r="H2" s="20">
        <f>COUNTIFS(Dados_Brutos!G:G,A2,Dados_Brutos!K:K,"*Médio*")</f>
        <v>6</v>
      </c>
      <c r="I2" s="20">
        <f>COUNTIFS(Dados_Brutos!G:G,A2,Dados_Brutos!K:K,"*Alto*")</f>
        <v>11</v>
      </c>
      <c r="J2" s="39">
        <f>F2*Config!$B$2</f>
        <v>1618129.8376</v>
      </c>
    </row>
    <row r="3" spans="1:10" x14ac:dyDescent="0.3">
      <c r="A3" s="68" t="s">
        <v>71</v>
      </c>
      <c r="B3" s="7">
        <f>IF(A3="Primeiro Ciclo", 2024, IF(A3="Segundo Ciclo", 2024, 2025))</f>
        <v>2024</v>
      </c>
      <c r="C3" s="20">
        <f>COUNTIF(Dados_Brutos!G:G,A3)</f>
        <v>47</v>
      </c>
      <c r="D3" s="20">
        <f>COUNTIFS(Dados_Brutos!$G:$G,$A3,Dados_Brutos!$F:$F,"Substituido")</f>
        <v>6</v>
      </c>
      <c r="E3" s="20">
        <f>COUNTIFS(Dados_Brutos!$G:$G,$A3,Dados_Brutos!$H:$H,"Fora de Operação")</f>
        <v>1</v>
      </c>
      <c r="F3" s="20">
        <f>SUMIF(Dados_Brutos!G:G,A3,Dados_Brutos!E:E)</f>
        <v>80</v>
      </c>
      <c r="G3" s="20">
        <f>COUNTIFS(Dados_Brutos!G:G,A3,Dados_Brutos!K:K,"*Baixo*")</f>
        <v>40</v>
      </c>
      <c r="H3" s="20">
        <f>COUNTIFS(Dados_Brutos!G:G,A3,Dados_Brutos!K:K,"*Médio*")</f>
        <v>7</v>
      </c>
      <c r="I3" s="20">
        <f>COUNTIFS(Dados_Brutos!G:G,A3,Dados_Brutos!K:K,"*Alto*")</f>
        <v>0</v>
      </c>
      <c r="J3" s="39">
        <f>F3*Config!$B$2</f>
        <v>102575.584</v>
      </c>
    </row>
    <row r="4" spans="1:10" x14ac:dyDescent="0.3">
      <c r="A4" s="68" t="s">
        <v>72</v>
      </c>
      <c r="B4" s="7">
        <f>IF(A4="Primeiro Ciclo", 2024, IF(A4="Segundo Ciclo", 2024, 2025))</f>
        <v>2025</v>
      </c>
      <c r="C4" s="20">
        <f>COUNTIF(Dados_Brutos!G:G,A4)</f>
        <v>47</v>
      </c>
      <c r="D4" s="20">
        <f>COUNTIFS(Dados_Brutos!$G:$G,$A4,Dados_Brutos!$F:$F,"Substituido")</f>
        <v>6</v>
      </c>
      <c r="E4" s="20">
        <f>COUNTIFS(Dados_Brutos!$G:$G,$A4,Dados_Brutos!$H:$H,"Fora de Operação")</f>
        <v>4</v>
      </c>
      <c r="F4" s="20">
        <f>SUMIF(Dados_Brutos!G:G,A4,Dados_Brutos!E:E)</f>
        <v>340</v>
      </c>
      <c r="G4" s="20">
        <f>COUNTIFS(Dados_Brutos!G:G,A4,Dados_Brutos!K:K,"*Baixo*")</f>
        <v>39</v>
      </c>
      <c r="H4" s="20">
        <f>COUNTIFS(Dados_Brutos!G:G,A4,Dados_Brutos!K:K,"*Médio*")</f>
        <v>7</v>
      </c>
      <c r="I4" s="20">
        <f>COUNTIFS(Dados_Brutos!G:G,A4,Dados_Brutos!K:K,"*Alto*")</f>
        <v>1</v>
      </c>
      <c r="J4" s="39">
        <f>F4*Config!$B$2</f>
        <v>435946.23200000002</v>
      </c>
    </row>
    <row r="5" spans="1:10" x14ac:dyDescent="0.3">
      <c r="A5" s="68" t="s">
        <v>85</v>
      </c>
      <c r="B5" s="7">
        <f>IF(A5="Primeiro Ciclo", 2024, IF(A5="Segundo Ciclo", 2024, 2025))</f>
        <v>2025</v>
      </c>
      <c r="C5" s="20">
        <f>COUNTIF(Dados_Brutos!G:G,A5)</f>
        <v>6</v>
      </c>
      <c r="D5" s="20">
        <f>COUNTIFS(Dados_Brutos!$G:$G,$A5,Dados_Brutos!$F:$F,"Substituido")</f>
        <v>6</v>
      </c>
      <c r="E5" s="20">
        <f>COUNTIFS(Dados_Brutos!$G:$G,$A5,Dados_Brutos!$H:$H,"Fora de Operação")</f>
        <v>6</v>
      </c>
      <c r="F5" s="20">
        <f>SUMIF(Dados_Brutos!G:G,A5,Dados_Brutos!E:E)</f>
        <v>44</v>
      </c>
      <c r="G5" s="20">
        <f>COUNTIFS(Dados_Brutos!G:G,A5,Dados_Brutos!K:K,"*Baixo*")</f>
        <v>5</v>
      </c>
      <c r="H5" s="20">
        <f>COUNTIFS(Dados_Brutos!G:G,A5,Dados_Brutos!K:K,"*Médio*")</f>
        <v>0</v>
      </c>
      <c r="I5" s="20">
        <f>COUNTIFS(Dados_Brutos!G:G,A5,Dados_Brutos!K:K,"*Alto*")</f>
        <v>1</v>
      </c>
      <c r="J5" s="39">
        <f>F5*Config!$B$2</f>
        <v>56416.571199999998</v>
      </c>
    </row>
    <row r="6" spans="1:10" x14ac:dyDescent="0.3">
      <c r="A6" s="93" t="s">
        <v>423</v>
      </c>
      <c r="B6" s="94">
        <f>IF(A6="Primeiro Ciclo", 2024, IF(A6="Segundo Ciclo", 2024, 2025))</f>
        <v>2025</v>
      </c>
      <c r="C6" s="58">
        <f>COUNTIF(Dados_Brutos!G:G,A6)</f>
        <v>5</v>
      </c>
      <c r="D6" s="58">
        <f>COUNTIFS(Dados_Brutos!$G:$G,$A6,Dados_Brutos!$F:$F,"Substituido")</f>
        <v>3</v>
      </c>
      <c r="E6" s="58">
        <f>COUNTIFS(Dados_Brutos!$G:$G,$A6,Dados_Brutos!$H:$H,"Fora de Operação")</f>
        <v>1</v>
      </c>
      <c r="F6" s="58">
        <f>SUMIF(Dados_Brutos!G:G,A6,Dados_Brutos!E:E)</f>
        <v>40</v>
      </c>
      <c r="G6" s="58">
        <f>COUNTIFS(Dados_Brutos!G:G,A6,Dados_Brutos!K:K,"*Baixo*")</f>
        <v>5</v>
      </c>
      <c r="H6" s="58">
        <f>COUNTIFS(Dados_Brutos!G:G,A6,Dados_Brutos!K:K,"*Médio*")</f>
        <v>0</v>
      </c>
      <c r="I6" s="58">
        <f>COUNTIFS(Dados_Brutos!G:G,A6,Dados_Brutos!K:K,"*Alto*")</f>
        <v>0</v>
      </c>
      <c r="J6" s="95">
        <f>F6*Config!$B$2</f>
        <v>51287.792000000001</v>
      </c>
    </row>
    <row r="12" spans="1:10" x14ac:dyDescent="0.3">
      <c r="E12" s="84"/>
      <c r="F12" s="84"/>
      <c r="G12" s="84"/>
    </row>
    <row r="13" spans="1:10" x14ac:dyDescent="0.3">
      <c r="J13" s="84"/>
    </row>
    <row r="14" spans="1:10" x14ac:dyDescent="0.3">
      <c r="E14" s="85"/>
      <c r="F14" s="85"/>
      <c r="G14" s="85"/>
      <c r="J14" s="84"/>
    </row>
    <row r="15" spans="1:10" x14ac:dyDescent="0.3">
      <c r="J15" s="84"/>
    </row>
    <row r="16" spans="1:10" x14ac:dyDescent="0.3">
      <c r="J16" s="84"/>
    </row>
    <row r="18" spans="12:12" x14ac:dyDescent="0.3">
      <c r="L18" s="89"/>
    </row>
    <row r="19" spans="12:12" x14ac:dyDescent="0.3">
      <c r="L19" s="89"/>
    </row>
    <row r="20" spans="12:12" x14ac:dyDescent="0.3">
      <c r="L20" s="89"/>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33A72-EFFD-4B52-BAFB-B86DC9D4BA45}">
  <dimension ref="A1:J37"/>
  <sheetViews>
    <sheetView showGridLines="0" zoomScale="70" zoomScaleNormal="70" workbookViewId="0">
      <pane ySplit="1" topLeftCell="A2" activePane="bottomLeft" state="frozen"/>
      <selection pane="bottomLeft" activeCell="E10" sqref="E10"/>
    </sheetView>
  </sheetViews>
  <sheetFormatPr defaultColWidth="19.88671875" defaultRowHeight="14.4" x14ac:dyDescent="0.3"/>
  <cols>
    <col min="1" max="10" width="19.88671875" style="1"/>
  </cols>
  <sheetData>
    <row r="1" spans="1:10" ht="37.049999999999997" customHeight="1" x14ac:dyDescent="0.3">
      <c r="A1" s="23" t="s">
        <v>47</v>
      </c>
      <c r="B1" s="29" t="s">
        <v>48</v>
      </c>
      <c r="C1" s="29" t="s">
        <v>49</v>
      </c>
      <c r="D1" s="29" t="s">
        <v>25</v>
      </c>
      <c r="E1" s="29" t="s">
        <v>26</v>
      </c>
      <c r="F1" s="29" t="s">
        <v>27</v>
      </c>
      <c r="G1" s="29" t="s">
        <v>28</v>
      </c>
      <c r="H1" s="29" t="s">
        <v>50</v>
      </c>
      <c r="I1" s="29" t="s">
        <v>51</v>
      </c>
      <c r="J1" s="24" t="s">
        <v>52</v>
      </c>
    </row>
    <row r="2" spans="1:10" x14ac:dyDescent="0.3">
      <c r="A2" s="72">
        <v>45457</v>
      </c>
      <c r="B2" s="33">
        <f>SUMIFS(Dados_Brutos!E:E,Dados_Brutos!A:A,"&gt;="&amp;DATE(2024,1,1),Dados_Brutos!A:A,"&lt;="&amp;DATE(2025,12,1))</f>
        <v>1766</v>
      </c>
      <c r="C2" s="33">
        <f>COUNTIFS(Dados_Brutos!A:A,"&gt;="&amp;DATE(2024,1,1),Dados_Brutos!A:A,"&lt;="&amp;DATE(2025,12,31),Dados_Brutos!H:H,"Fora de Operação")</f>
        <v>31</v>
      </c>
      <c r="D2" s="33">
        <f>COUNTIFS(Dados_Brutos!A:A,"&gt;="&amp;$A2,Dados_Brutos!A:A,"&lt;="&amp;EOMONTH($A2,0),Dados_Brutos!K:K,"*Baixo*")</f>
        <v>5</v>
      </c>
      <c r="E2" s="33">
        <f>COUNTIFS(Dados_Brutos!A:A,"&gt;="&amp;$A2,Dados_Brutos!A:A,"&lt;="&amp;EOMONTH($A2,0),Dados_Brutos!K:K,"*Médio*")</f>
        <v>0</v>
      </c>
      <c r="F2" s="33">
        <f>COUNTIFS(Dados_Brutos!A:A,"&gt;="&amp;$A2,Dados_Brutos!A:A,"&lt;="&amp;EOMONTH($A2,0),Dados_Brutos!K:K,"*Alto*")</f>
        <v>1</v>
      </c>
      <c r="G2" s="40">
        <f>B2*Config!$B$2</f>
        <v>2264356.0167999999</v>
      </c>
      <c r="H2" s="41">
        <f>IF(B2&gt;0, 30/B2, "Sem dados")</f>
        <v>1.698754246885617E-2</v>
      </c>
      <c r="I2" s="35">
        <f>IFERROR(AVERAGEIFS(Dados_Brutos!J:J, Dados_Brutos!A:A, "&gt;="&amp;A2, Dados_Brutos!A:A, "&lt;="&amp;EOMONTH(A2,0)),"-")</f>
        <v>1.8333333333333333</v>
      </c>
      <c r="J2" s="42">
        <f>(1-(SUMIFS(Dados_Brutos!J:J,Dados_Brutos!A:A,"&gt;="&amp;DATE(2024,1,1),Dados_Brutos!A:A,"&lt;="&amp;DATE(2025,12,31))/(47*24*30)))</f>
        <v>0.95537825059101655</v>
      </c>
    </row>
    <row r="3" spans="1:10" x14ac:dyDescent="0.3">
      <c r="A3" s="73">
        <v>45458</v>
      </c>
      <c r="B3" s="15">
        <f>SUMIFS(Dados_Brutos!E:E,Dados_Brutos!A:A,"&gt;="&amp;DATE(2024,1,1),Dados_Brutos!A:A,"&lt;="&amp;DATE(2025,12,1))</f>
        <v>1766</v>
      </c>
      <c r="C3" s="15">
        <f>COUNTIFS(Dados_Brutos!A:A,"&gt;="&amp;DATE(2024,1,1),Dados_Brutos!A:A,"&lt;="&amp;DATE(2025,12,31),Dados_Brutos!H:H,"Fora de Operação")</f>
        <v>31</v>
      </c>
      <c r="D3" s="15">
        <f>COUNTIFS(Dados_Brutos!A:A,"&gt;="&amp;$A3,Dados_Brutos!A:A,"&lt;="&amp;EOMONTH($A3,0),Dados_Brutos!K:K,"*Baixo*")</f>
        <v>4</v>
      </c>
      <c r="E3" s="15">
        <f>COUNTIFS(Dados_Brutos!A:A,"&gt;="&amp;$A3,Dados_Brutos!A:A,"&lt;="&amp;EOMONTH($A3,0),Dados_Brutos!K:K,"*Médio*")</f>
        <v>0</v>
      </c>
      <c r="F3" s="15">
        <f>COUNTIFS(Dados_Brutos!A:A,"&gt;="&amp;$A3,Dados_Brutos!A:A,"&lt;="&amp;EOMONTH($A3,0),Dados_Brutos!K:K,"*Alto*")</f>
        <v>1</v>
      </c>
      <c r="G3" s="22">
        <f>B3*Config!$B$2</f>
        <v>2264356.0167999999</v>
      </c>
      <c r="H3" s="69">
        <f t="shared" ref="H3:H35" si="0">IF(B3&gt;0, 30/B3, "Sem dados")</f>
        <v>1.698754246885617E-2</v>
      </c>
      <c r="I3" s="21">
        <f>IFERROR(AVERAGEIFS(Dados_Brutos!J:J, Dados_Brutos!A:A, "&gt;="&amp;A3, Dados_Brutos!A:A, "&lt;="&amp;EOMONTH(A3,0)),"-")</f>
        <v>2.2000000000000002</v>
      </c>
      <c r="J3" s="70">
        <f>(1-(SUMIFS(Dados_Brutos!J:J,Dados_Brutos!A:A,"&gt;="&amp;DATE(2024,1,1),Dados_Brutos!A:A,"&lt;="&amp;DATE(2025,12,31))/(47*24*30)))</f>
        <v>0.95537825059101655</v>
      </c>
    </row>
    <row r="4" spans="1:10" x14ac:dyDescent="0.3">
      <c r="A4" s="73">
        <v>45460</v>
      </c>
      <c r="B4" s="15">
        <f>SUMIFS(Dados_Brutos!E:E,Dados_Brutos!A:A,"&gt;="&amp;DATE(2024,1,1),Dados_Brutos!A:A,"&lt;="&amp;DATE(2025,12,1))</f>
        <v>1766</v>
      </c>
      <c r="C4" s="15">
        <f>COUNTIFS(Dados_Brutos!A:A,"&gt;="&amp;DATE(2024,1,1),Dados_Brutos!A:A,"&lt;="&amp;DATE(2025,12,31),Dados_Brutos!H:H,"Fora de Operação")</f>
        <v>31</v>
      </c>
      <c r="D4" s="15">
        <f>COUNTIFS(Dados_Brutos!A:A,"&gt;="&amp;$A4,Dados_Brutos!A:A,"&lt;="&amp;EOMONTH($A4,0),Dados_Brutos!K:K,"*Baixo*")</f>
        <v>4</v>
      </c>
      <c r="E4" s="15">
        <f>COUNTIFS(Dados_Brutos!A:A,"&gt;="&amp;$A4,Dados_Brutos!A:A,"&lt;="&amp;EOMONTH($A4,0),Dados_Brutos!K:K,"*Médio*")</f>
        <v>0</v>
      </c>
      <c r="F4" s="15">
        <f>COUNTIFS(Dados_Brutos!A:A,"&gt;="&amp;$A4,Dados_Brutos!A:A,"&lt;="&amp;EOMONTH($A4,0),Dados_Brutos!K:K,"*Alto*")</f>
        <v>1</v>
      </c>
      <c r="G4" s="22">
        <f>B4*Config!$B$2</f>
        <v>2264356.0167999999</v>
      </c>
      <c r="H4" s="69">
        <f t="shared" si="0"/>
        <v>1.698754246885617E-2</v>
      </c>
      <c r="I4" s="21">
        <f>IFERROR(AVERAGEIFS(Dados_Brutos!J:J, Dados_Brutos!A:A, "&gt;="&amp;A4, Dados_Brutos!A:A, "&lt;="&amp;EOMONTH(A4,0)),"-")</f>
        <v>2.2000000000000002</v>
      </c>
      <c r="J4" s="70">
        <f>(1-(SUMIFS(Dados_Brutos!J:J,Dados_Brutos!A:A,"&gt;="&amp;DATE(2024,1,1),Dados_Brutos!A:A,"&lt;="&amp;DATE(2025,12,31))/(47*24*30)))</f>
        <v>0.95537825059101655</v>
      </c>
    </row>
    <row r="5" spans="1:10" x14ac:dyDescent="0.3">
      <c r="A5" s="73">
        <v>45461</v>
      </c>
      <c r="B5" s="15">
        <f>SUMIFS(Dados_Brutos!E:E,Dados_Brutos!A:A,"&gt;="&amp;DATE(2024,1,1),Dados_Brutos!A:A,"&lt;="&amp;DATE(2025,12,1))</f>
        <v>1766</v>
      </c>
      <c r="C5" s="15">
        <f>COUNTIFS(Dados_Brutos!A:A,"&gt;="&amp;DATE(2024,1,1),Dados_Brutos!A:A,"&lt;="&amp;DATE(2025,12,31),Dados_Brutos!H:H,"Fora de Operação")</f>
        <v>31</v>
      </c>
      <c r="D5" s="15">
        <f>COUNTIFS(Dados_Brutos!A:A,"&gt;="&amp;$A5,Dados_Brutos!A:A,"&lt;="&amp;EOMONTH($A5,0),Dados_Brutos!K:K,"*Baixo*")</f>
        <v>3</v>
      </c>
      <c r="E5" s="15">
        <f>COUNTIFS(Dados_Brutos!A:A,"&gt;="&amp;$A5,Dados_Brutos!A:A,"&lt;="&amp;EOMONTH($A5,0),Dados_Brutos!K:K,"*Médio*")</f>
        <v>0</v>
      </c>
      <c r="F5" s="15">
        <f>COUNTIFS(Dados_Brutos!A:A,"&gt;="&amp;$A5,Dados_Brutos!A:A,"&lt;="&amp;EOMONTH($A5,0),Dados_Brutos!K:K,"*Alto*")</f>
        <v>1</v>
      </c>
      <c r="G5" s="22">
        <f>B5*Config!$B$2</f>
        <v>2264356.0167999999</v>
      </c>
      <c r="H5" s="69">
        <f t="shared" si="0"/>
        <v>1.698754246885617E-2</v>
      </c>
      <c r="I5" s="21">
        <f>IFERROR(AVERAGEIFS(Dados_Brutos!J:J, Dados_Brutos!A:A, "&gt;="&amp;A5, Dados_Brutos!A:A, "&lt;="&amp;EOMONTH(A5,0)),"-")</f>
        <v>2.75</v>
      </c>
      <c r="J5" s="70">
        <f>(1-(SUMIFS(Dados_Brutos!J:J,Dados_Brutos!A:A,"&gt;="&amp;DATE(2024,1,1),Dados_Brutos!A:A,"&lt;="&amp;DATE(2025,12,31))/(47*24*30)))</f>
        <v>0.95537825059101655</v>
      </c>
    </row>
    <row r="6" spans="1:10" x14ac:dyDescent="0.3">
      <c r="A6" s="73">
        <v>45462</v>
      </c>
      <c r="B6" s="15">
        <f>SUMIFS(Dados_Brutos!E:E,Dados_Brutos!A:A,"&gt;="&amp;DATE(2024,1,1),Dados_Brutos!A:A,"&lt;="&amp;DATE(2025,12,1))</f>
        <v>1766</v>
      </c>
      <c r="C6" s="15">
        <f>COUNTIFS(Dados_Brutos!A:A,"&gt;="&amp;DATE(2024,1,1),Dados_Brutos!A:A,"&lt;="&amp;DATE(2025,12,31),Dados_Brutos!H:H,"Fora de Operação")</f>
        <v>31</v>
      </c>
      <c r="D6" s="15">
        <f>COUNTIFS(Dados_Brutos!A:A,"&gt;="&amp;$A6,Dados_Brutos!A:A,"&lt;="&amp;EOMONTH($A6,0),Dados_Brutos!K:K,"*Baixo*")</f>
        <v>2</v>
      </c>
      <c r="E6" s="15">
        <f>COUNTIFS(Dados_Brutos!A:A,"&gt;="&amp;$A6,Dados_Brutos!A:A,"&lt;="&amp;EOMONTH($A6,0),Dados_Brutos!K:K,"*Médio*")</f>
        <v>0</v>
      </c>
      <c r="F6" s="15">
        <f>COUNTIFS(Dados_Brutos!A:A,"&gt;="&amp;$A6,Dados_Brutos!A:A,"&lt;="&amp;EOMONTH($A6,0),Dados_Brutos!K:K,"*Alto*")</f>
        <v>1</v>
      </c>
      <c r="G6" s="22">
        <f>B6*Config!$B$2</f>
        <v>2264356.0167999999</v>
      </c>
      <c r="H6" s="69">
        <f t="shared" si="0"/>
        <v>1.698754246885617E-2</v>
      </c>
      <c r="I6" s="21">
        <f>IFERROR(AVERAGEIFS(Dados_Brutos!J:J, Dados_Brutos!A:A, "&gt;="&amp;A6, Dados_Brutos!A:A, "&lt;="&amp;EOMONTH(A6,0)),"-")</f>
        <v>3.6666666666666665</v>
      </c>
      <c r="J6" s="70">
        <f>(1-(SUMIFS(Dados_Brutos!J:J,Dados_Brutos!A:A,"&gt;="&amp;DATE(2024,1,1),Dados_Brutos!A:A,"&lt;="&amp;DATE(2025,12,31))/(47*24*30)))</f>
        <v>0.95537825059101655</v>
      </c>
    </row>
    <row r="7" spans="1:10" x14ac:dyDescent="0.3">
      <c r="A7" s="73">
        <v>45463</v>
      </c>
      <c r="B7" s="15">
        <f>SUMIFS(Dados_Brutos!E:E,Dados_Brutos!A:A,"&gt;="&amp;DATE(2024,1,1),Dados_Brutos!A:A,"&lt;="&amp;DATE(2025,12,1))</f>
        <v>1766</v>
      </c>
      <c r="C7" s="15">
        <f>COUNTIFS(Dados_Brutos!A:A,"&gt;="&amp;DATE(2024,1,1),Dados_Brutos!A:A,"&lt;="&amp;DATE(2025,12,31),Dados_Brutos!H:H,"Fora de Operação")</f>
        <v>31</v>
      </c>
      <c r="D7" s="15">
        <f>COUNTIFS(Dados_Brutos!A:A,"&gt;="&amp;$A7,Dados_Brutos!A:A,"&lt;="&amp;EOMONTH($A7,0),Dados_Brutos!K:K,"*Baixo*")</f>
        <v>1</v>
      </c>
      <c r="E7" s="15">
        <f>COUNTIFS(Dados_Brutos!A:A,"&gt;="&amp;$A7,Dados_Brutos!A:A,"&lt;="&amp;EOMONTH($A7,0),Dados_Brutos!K:K,"*Médio*")</f>
        <v>0</v>
      </c>
      <c r="F7" s="15">
        <f>COUNTIFS(Dados_Brutos!A:A,"&gt;="&amp;$A7,Dados_Brutos!A:A,"&lt;="&amp;EOMONTH($A7,0),Dados_Brutos!K:K,"*Alto*")</f>
        <v>1</v>
      </c>
      <c r="G7" s="22">
        <f>B7*Config!$B$2</f>
        <v>2264356.0167999999</v>
      </c>
      <c r="H7" s="69">
        <f t="shared" si="0"/>
        <v>1.698754246885617E-2</v>
      </c>
      <c r="I7" s="21">
        <f>IFERROR(AVERAGEIFS(Dados_Brutos!J:J, Dados_Brutos!A:A, "&gt;="&amp;A7, Dados_Brutos!A:A, "&lt;="&amp;EOMONTH(A7,0)),"-")</f>
        <v>5.5</v>
      </c>
      <c r="J7" s="70">
        <f>(1-(SUMIFS(Dados_Brutos!J:J,Dados_Brutos!A:A,"&gt;="&amp;DATE(2024,1,1),Dados_Brutos!A:A,"&lt;="&amp;DATE(2025,12,31))/(47*24*30)))</f>
        <v>0.95537825059101655</v>
      </c>
    </row>
    <row r="8" spans="1:10" x14ac:dyDescent="0.3">
      <c r="A8" s="73">
        <v>45465</v>
      </c>
      <c r="B8" s="15">
        <f>SUMIFS(Dados_Brutos!E:E,Dados_Brutos!A:A,"&gt;="&amp;DATE(2024,1,1),Dados_Brutos!A:A,"&lt;="&amp;DATE(2025,12,1))</f>
        <v>1766</v>
      </c>
      <c r="C8" s="15">
        <f>COUNTIFS(Dados_Brutos!A:A,"&gt;="&amp;DATE(2024,1,1),Dados_Brutos!A:A,"&lt;="&amp;DATE(2025,12,31),Dados_Brutos!H:H,"Fora de Operação")</f>
        <v>31</v>
      </c>
      <c r="D8" s="15">
        <f>COUNTIFS(Dados_Brutos!A:A,"&gt;="&amp;$A8,Dados_Brutos!A:A,"&lt;="&amp;EOMONTH($A8,0),Dados_Brutos!K:K,"*Baixo*")</f>
        <v>0</v>
      </c>
      <c r="E8" s="15">
        <f>COUNTIFS(Dados_Brutos!A:A,"&gt;="&amp;$A8,Dados_Brutos!A:A,"&lt;="&amp;EOMONTH($A8,0),Dados_Brutos!K:K,"*Médio*")</f>
        <v>0</v>
      </c>
      <c r="F8" s="15">
        <f>COUNTIFS(Dados_Brutos!A:A,"&gt;="&amp;$A8,Dados_Brutos!A:A,"&lt;="&amp;EOMONTH($A8,0),Dados_Brutos!K:K,"*Alto*")</f>
        <v>0</v>
      </c>
      <c r="G8" s="22">
        <f>B8*Config!$B$2</f>
        <v>2264356.0167999999</v>
      </c>
      <c r="H8" s="69">
        <f t="shared" si="0"/>
        <v>1.698754246885617E-2</v>
      </c>
      <c r="I8" s="21" t="str">
        <f>IFERROR(AVERAGEIFS(Dados_Brutos!J:J, Dados_Brutos!A:A, "&gt;="&amp;A8, Dados_Brutos!A:A, "&lt;="&amp;EOMONTH(A8,0)),"-")</f>
        <v>-</v>
      </c>
      <c r="J8" s="70">
        <f>(1-(SUMIFS(Dados_Brutos!J:J,Dados_Brutos!A:A,"&gt;="&amp;DATE(2024,1,1),Dados_Brutos!A:A,"&lt;="&amp;DATE(2025,12,31))/(47*24*30)))</f>
        <v>0.95537825059101655</v>
      </c>
    </row>
    <row r="9" spans="1:10" x14ac:dyDescent="0.3">
      <c r="A9" s="73">
        <v>45468</v>
      </c>
      <c r="B9" s="15">
        <f>SUMIFS(Dados_Brutos!E:E,Dados_Brutos!A:A,"&gt;="&amp;DATE(2024,1,1),Dados_Brutos!A:A,"&lt;="&amp;DATE(2025,12,1))</f>
        <v>1766</v>
      </c>
      <c r="C9" s="15">
        <f>COUNTIFS(Dados_Brutos!A:A,"&gt;="&amp;DATE(2024,1,1),Dados_Brutos!A:A,"&lt;="&amp;DATE(2025,12,31),Dados_Brutos!H:H,"Fora de Operação")</f>
        <v>31</v>
      </c>
      <c r="D9" s="15">
        <f>COUNTIFS(Dados_Brutos!A:A,"&gt;="&amp;$A9,Dados_Brutos!A:A,"&lt;="&amp;EOMONTH($A9,0),Dados_Brutos!K:K,"*Baixo*")</f>
        <v>0</v>
      </c>
      <c r="E9" s="15">
        <f>COUNTIFS(Dados_Brutos!A:A,"&gt;="&amp;$A9,Dados_Brutos!A:A,"&lt;="&amp;EOMONTH($A9,0),Dados_Brutos!K:K,"*Médio*")</f>
        <v>0</v>
      </c>
      <c r="F9" s="15">
        <f>COUNTIFS(Dados_Brutos!A:A,"&gt;="&amp;$A9,Dados_Brutos!A:A,"&lt;="&amp;EOMONTH($A9,0),Dados_Brutos!K:K,"*Alto*")</f>
        <v>0</v>
      </c>
      <c r="G9" s="22">
        <f>B9*Config!$B$2</f>
        <v>2264356.0167999999</v>
      </c>
      <c r="H9" s="69">
        <f t="shared" si="0"/>
        <v>1.698754246885617E-2</v>
      </c>
      <c r="I9" s="21" t="str">
        <f>IFERROR(AVERAGEIFS(Dados_Brutos!J:J, Dados_Brutos!A:A, "&gt;="&amp;A9, Dados_Brutos!A:A, "&lt;="&amp;EOMONTH(A9,0)),"-")</f>
        <v>-</v>
      </c>
      <c r="J9" s="70">
        <f>(1-(SUMIFS(Dados_Brutos!J:J,Dados_Brutos!A:A,"&gt;="&amp;DATE(2024,1,1),Dados_Brutos!A:A,"&lt;="&amp;DATE(2025,12,31))/(47*24*30)))</f>
        <v>0.95537825059101655</v>
      </c>
    </row>
    <row r="10" spans="1:10" x14ac:dyDescent="0.3">
      <c r="A10" s="73">
        <v>45469</v>
      </c>
      <c r="B10" s="15">
        <f>SUMIFS(Dados_Brutos!E:E,Dados_Brutos!A:A,"&gt;="&amp;DATE(2024,1,1),Dados_Brutos!A:A,"&lt;="&amp;DATE(2025,12,1))</f>
        <v>1766</v>
      </c>
      <c r="C10" s="15">
        <f>COUNTIFS(Dados_Brutos!A:A,"&gt;="&amp;DATE(2024,1,1),Dados_Brutos!A:A,"&lt;="&amp;DATE(2025,12,31),Dados_Brutos!H:H,"Fora de Operação")</f>
        <v>31</v>
      </c>
      <c r="D10" s="15">
        <f>COUNTIFS(Dados_Brutos!A:A,"&gt;="&amp;$A10,Dados_Brutos!A:A,"&lt;="&amp;EOMONTH($A10,0),Dados_Brutos!K:K,"*Baixo*")</f>
        <v>0</v>
      </c>
      <c r="E10" s="15">
        <f>COUNTIFS(Dados_Brutos!A:A,"&gt;="&amp;$A10,Dados_Brutos!A:A,"&lt;="&amp;EOMONTH($A10,0),Dados_Brutos!K:K,"*Médio*")</f>
        <v>0</v>
      </c>
      <c r="F10" s="15">
        <f>COUNTIFS(Dados_Brutos!A:A,"&gt;="&amp;$A10,Dados_Brutos!A:A,"&lt;="&amp;EOMONTH($A10,0),Dados_Brutos!K:K,"*Alto*")</f>
        <v>0</v>
      </c>
      <c r="G10" s="22">
        <f>B10*Config!$B$2</f>
        <v>2264356.0167999999</v>
      </c>
      <c r="H10" s="69">
        <f t="shared" si="0"/>
        <v>1.698754246885617E-2</v>
      </c>
      <c r="I10" s="21" t="str">
        <f>IFERROR(AVERAGEIFS(Dados_Brutos!J:J, Dados_Brutos!A:A, "&gt;="&amp;A10, Dados_Brutos!A:A, "&lt;="&amp;EOMONTH(A10,0)),"-")</f>
        <v>-</v>
      </c>
      <c r="J10" s="70">
        <f>(1-(SUMIFS(Dados_Brutos!J:J,Dados_Brutos!A:A,"&gt;="&amp;DATE(2024,1,1),Dados_Brutos!A:A,"&lt;="&amp;DATE(2025,12,31))/(47*24*30)))</f>
        <v>0.95537825059101655</v>
      </c>
    </row>
    <row r="11" spans="1:10" x14ac:dyDescent="0.3">
      <c r="A11" s="73">
        <v>45472</v>
      </c>
      <c r="B11" s="15">
        <f>SUMIFS(Dados_Brutos!E:E,Dados_Brutos!A:A,"&gt;="&amp;DATE(2024,1,1),Dados_Brutos!A:A,"&lt;="&amp;DATE(2025,12,1))</f>
        <v>1766</v>
      </c>
      <c r="C11" s="15">
        <f>COUNTIFS(Dados_Brutos!A:A,"&gt;="&amp;DATE(2024,1,1),Dados_Brutos!A:A,"&lt;="&amp;DATE(2025,12,31),Dados_Brutos!H:H,"Fora de Operação")</f>
        <v>31</v>
      </c>
      <c r="D11" s="15">
        <f>COUNTIFS(Dados_Brutos!A:A,"&gt;="&amp;$A11,Dados_Brutos!A:A,"&lt;="&amp;EOMONTH($A11,0),Dados_Brutos!K:K,"*Baixo*")</f>
        <v>0</v>
      </c>
      <c r="E11" s="15">
        <f>COUNTIFS(Dados_Brutos!A:A,"&gt;="&amp;$A11,Dados_Brutos!A:A,"&lt;="&amp;EOMONTH($A11,0),Dados_Brutos!K:K,"*Médio*")</f>
        <v>0</v>
      </c>
      <c r="F11" s="15">
        <f>COUNTIFS(Dados_Brutos!A:A,"&gt;="&amp;$A11,Dados_Brutos!A:A,"&lt;="&amp;EOMONTH($A11,0),Dados_Brutos!K:K,"*Alto*")</f>
        <v>0</v>
      </c>
      <c r="G11" s="22">
        <f>B11*Config!$B$2</f>
        <v>2264356.0167999999</v>
      </c>
      <c r="H11" s="69">
        <f t="shared" si="0"/>
        <v>1.698754246885617E-2</v>
      </c>
      <c r="I11" s="21" t="str">
        <f>IFERROR(AVERAGEIFS(Dados_Brutos!J:J, Dados_Brutos!A:A, "&gt;="&amp;A11, Dados_Brutos!A:A, "&lt;="&amp;EOMONTH(A11,0)),"-")</f>
        <v>-</v>
      </c>
      <c r="J11" s="70">
        <f>(1-(SUMIFS(Dados_Brutos!J:J,Dados_Brutos!A:A,"&gt;="&amp;DATE(2024,1,1),Dados_Brutos!A:A,"&lt;="&amp;DATE(2025,12,31))/(47*24*30)))</f>
        <v>0.95537825059101655</v>
      </c>
    </row>
    <row r="12" spans="1:10" x14ac:dyDescent="0.3">
      <c r="A12" s="73">
        <v>45475</v>
      </c>
      <c r="B12" s="15">
        <f>SUMIFS(Dados_Brutos!E:E,Dados_Brutos!A:A,"&gt;="&amp;DATE(2024,1,1),Dados_Brutos!A:A,"&lt;="&amp;DATE(2025,12,1))</f>
        <v>1766</v>
      </c>
      <c r="C12" s="15">
        <f>COUNTIFS(Dados_Brutos!A:A,"&gt;="&amp;DATE(2024,1,1),Dados_Brutos!A:A,"&lt;="&amp;DATE(2025,12,31),Dados_Brutos!H:H,"Fora de Operação")</f>
        <v>31</v>
      </c>
      <c r="D12" s="15">
        <f>COUNTIFS(Dados_Brutos!A:A,"&gt;="&amp;$A12,Dados_Brutos!A:A,"&lt;="&amp;EOMONTH($A12,0),Dados_Brutos!K:K,"*Baixo*")</f>
        <v>1</v>
      </c>
      <c r="E12" s="15">
        <f>COUNTIFS(Dados_Brutos!A:A,"&gt;="&amp;$A12,Dados_Brutos!A:A,"&lt;="&amp;EOMONTH($A12,0),Dados_Brutos!K:K,"*Médio*")</f>
        <v>0</v>
      </c>
      <c r="F12" s="15">
        <f>COUNTIFS(Dados_Brutos!A:A,"&gt;="&amp;$A12,Dados_Brutos!A:A,"&lt;="&amp;EOMONTH($A12,0),Dados_Brutos!K:K,"*Alto*")</f>
        <v>0</v>
      </c>
      <c r="G12" s="22">
        <f>B12*Config!$B$2</f>
        <v>2264356.0167999999</v>
      </c>
      <c r="H12" s="69">
        <f t="shared" si="0"/>
        <v>1.698754246885617E-2</v>
      </c>
      <c r="I12" s="21">
        <f>IFERROR(AVERAGEIFS(Dados_Brutos!J:J, Dados_Brutos!A:A, "&gt;="&amp;A12, Dados_Brutos!A:A, "&lt;="&amp;EOMONTH(A12,0)),"-")</f>
        <v>12</v>
      </c>
      <c r="J12" s="70">
        <f>(1-(SUMIFS(Dados_Brutos!J:J,Dados_Brutos!A:A,"&gt;="&amp;DATE(2024,1,1),Dados_Brutos!A:A,"&lt;="&amp;DATE(2025,12,31))/(47*24*30)))</f>
        <v>0.95537825059101655</v>
      </c>
    </row>
    <row r="13" spans="1:10" x14ac:dyDescent="0.3">
      <c r="A13" s="73">
        <v>45478</v>
      </c>
      <c r="B13" s="15">
        <f>SUMIFS(Dados_Brutos!E:E,Dados_Brutos!A:A,"&gt;="&amp;DATE(2024,1,1),Dados_Brutos!A:A,"&lt;="&amp;DATE(2025,12,1))</f>
        <v>1766</v>
      </c>
      <c r="C13" s="15">
        <f>COUNTIFS(Dados_Brutos!A:A,"&gt;="&amp;DATE(2024,1,1),Dados_Brutos!A:A,"&lt;="&amp;DATE(2025,12,31),Dados_Brutos!H:H,"Fora de Operação")</f>
        <v>31</v>
      </c>
      <c r="D13" s="15">
        <f>COUNTIFS(Dados_Brutos!A:A,"&gt;="&amp;$A13,Dados_Brutos!A:A,"&lt;="&amp;EOMONTH($A13,0),Dados_Brutos!K:K,"*Baixo*")</f>
        <v>1</v>
      </c>
      <c r="E13" s="15">
        <f>COUNTIFS(Dados_Brutos!A:A,"&gt;="&amp;$A13,Dados_Brutos!A:A,"&lt;="&amp;EOMONTH($A13,0),Dados_Brutos!K:K,"*Médio*")</f>
        <v>0</v>
      </c>
      <c r="F13" s="15">
        <f>COUNTIFS(Dados_Brutos!A:A,"&gt;="&amp;$A13,Dados_Brutos!A:A,"&lt;="&amp;EOMONTH($A13,0),Dados_Brutos!K:K,"*Alto*")</f>
        <v>0</v>
      </c>
      <c r="G13" s="22">
        <f>B13*Config!$B$2</f>
        <v>2264356.0167999999</v>
      </c>
      <c r="H13" s="69">
        <f t="shared" si="0"/>
        <v>1.698754246885617E-2</v>
      </c>
      <c r="I13" s="21">
        <f>IFERROR(AVERAGEIFS(Dados_Brutos!J:J, Dados_Brutos!A:A, "&gt;="&amp;A13, Dados_Brutos!A:A, "&lt;="&amp;EOMONTH(A13,0)),"-")</f>
        <v>12</v>
      </c>
      <c r="J13" s="70">
        <f>(1-(SUMIFS(Dados_Brutos!J:J,Dados_Brutos!A:A,"&gt;="&amp;DATE(2024,1,1),Dados_Brutos!A:A,"&lt;="&amp;DATE(2025,12,31))/(47*24*30)))</f>
        <v>0.95537825059101655</v>
      </c>
    </row>
    <row r="14" spans="1:10" x14ac:dyDescent="0.3">
      <c r="A14" s="73">
        <v>45481</v>
      </c>
      <c r="B14" s="15">
        <f>SUMIFS(Dados_Brutos!E:E,Dados_Brutos!A:A,"&gt;="&amp;DATE(2024,1,1),Dados_Brutos!A:A,"&lt;="&amp;DATE(2025,12,1))</f>
        <v>1766</v>
      </c>
      <c r="C14" s="15">
        <f>COUNTIFS(Dados_Brutos!A:A,"&gt;="&amp;DATE(2024,1,1),Dados_Brutos!A:A,"&lt;="&amp;DATE(2025,12,31),Dados_Brutos!H:H,"Fora de Operação")</f>
        <v>31</v>
      </c>
      <c r="D14" s="15">
        <f>COUNTIFS(Dados_Brutos!A:A,"&gt;="&amp;$A14,Dados_Brutos!A:A,"&lt;="&amp;EOMONTH($A14,0),Dados_Brutos!K:K,"*Baixo*")</f>
        <v>1</v>
      </c>
      <c r="E14" s="15">
        <f>COUNTIFS(Dados_Brutos!A:A,"&gt;="&amp;$A14,Dados_Brutos!A:A,"&lt;="&amp;EOMONTH($A14,0),Dados_Brutos!K:K,"*Médio*")</f>
        <v>0</v>
      </c>
      <c r="F14" s="15">
        <f>COUNTIFS(Dados_Brutos!A:A,"&gt;="&amp;$A14,Dados_Brutos!A:A,"&lt;="&amp;EOMONTH($A14,0),Dados_Brutos!K:K,"*Alto*")</f>
        <v>0</v>
      </c>
      <c r="G14" s="22">
        <f>B14*Config!$B$2</f>
        <v>2264356.0167999999</v>
      </c>
      <c r="H14" s="69">
        <f t="shared" si="0"/>
        <v>1.698754246885617E-2</v>
      </c>
      <c r="I14" s="21">
        <f>IFERROR(AVERAGEIFS(Dados_Brutos!J:J, Dados_Brutos!A:A, "&gt;="&amp;A14, Dados_Brutos!A:A, "&lt;="&amp;EOMONTH(A14,0)),"-")</f>
        <v>12</v>
      </c>
      <c r="J14" s="70">
        <f>(1-(SUMIFS(Dados_Brutos!J:J,Dados_Brutos!A:A,"&gt;="&amp;DATE(2024,1,1),Dados_Brutos!A:A,"&lt;="&amp;DATE(2025,12,31))/(47*24*30)))</f>
        <v>0.95537825059101655</v>
      </c>
    </row>
    <row r="15" spans="1:10" x14ac:dyDescent="0.3">
      <c r="A15" s="73">
        <v>45500</v>
      </c>
      <c r="B15" s="15">
        <f>SUMIFS(Dados_Brutos!E:E,Dados_Brutos!A:A,"&gt;="&amp;DATE(2024,1,1),Dados_Brutos!A:A,"&lt;="&amp;DATE(2025,12,1))</f>
        <v>1766</v>
      </c>
      <c r="C15" s="15">
        <f>COUNTIFS(Dados_Brutos!A:A,"&gt;="&amp;DATE(2024,1,1),Dados_Brutos!A:A,"&lt;="&amp;DATE(2025,12,31),Dados_Brutos!H:H,"Fora de Operação")</f>
        <v>31</v>
      </c>
      <c r="D15" s="15">
        <f>COUNTIFS(Dados_Brutos!A:A,"&gt;="&amp;$A15,Dados_Brutos!A:A,"&lt;="&amp;EOMONTH($A15,0),Dados_Brutos!K:K,"*Baixo*")</f>
        <v>0</v>
      </c>
      <c r="E15" s="15">
        <f>COUNTIFS(Dados_Brutos!A:A,"&gt;="&amp;$A15,Dados_Brutos!A:A,"&lt;="&amp;EOMONTH($A15,0),Dados_Brutos!K:K,"*Médio*")</f>
        <v>0</v>
      </c>
      <c r="F15" s="15">
        <f>COUNTIFS(Dados_Brutos!A:A,"&gt;="&amp;$A15,Dados_Brutos!A:A,"&lt;="&amp;EOMONTH($A15,0),Dados_Brutos!K:K,"*Alto*")</f>
        <v>0</v>
      </c>
      <c r="G15" s="22">
        <f>B15*Config!$B$2</f>
        <v>2264356.0167999999</v>
      </c>
      <c r="H15" s="69">
        <f t="shared" si="0"/>
        <v>1.698754246885617E-2</v>
      </c>
      <c r="I15" s="21" t="str">
        <f>IFERROR(AVERAGEIFS(Dados_Brutos!J:J, Dados_Brutos!A:A, "&gt;="&amp;A15, Dados_Brutos!A:A, "&lt;="&amp;EOMONTH(A15,0)),"-")</f>
        <v>-</v>
      </c>
      <c r="J15" s="70">
        <f>(1-(SUMIFS(Dados_Brutos!J:J,Dados_Brutos!A:A,"&gt;="&amp;DATE(2024,1,1),Dados_Brutos!A:A,"&lt;="&amp;DATE(2025,12,31))/(47*24*30)))</f>
        <v>0.95537825059101655</v>
      </c>
    </row>
    <row r="16" spans="1:10" x14ac:dyDescent="0.3">
      <c r="A16" s="73">
        <v>45512</v>
      </c>
      <c r="B16" s="15">
        <f>SUMIFS(Dados_Brutos!E:E,Dados_Brutos!A:A,"&gt;="&amp;DATE(2024,1,1),Dados_Brutos!A:A,"&lt;="&amp;DATE(2025,12,1))</f>
        <v>1766</v>
      </c>
      <c r="C16" s="15">
        <f>COUNTIFS(Dados_Brutos!A:A,"&gt;="&amp;DATE(2024,1,1),Dados_Brutos!A:A,"&lt;="&amp;DATE(2025,12,31),Dados_Brutos!H:H,"Fora de Operação")</f>
        <v>31</v>
      </c>
      <c r="D16" s="15">
        <f>COUNTIFS(Dados_Brutos!A:A,"&gt;="&amp;$A16,Dados_Brutos!A:A,"&lt;="&amp;EOMONTH($A16,0),Dados_Brutos!K:K,"*Baixo*")</f>
        <v>0</v>
      </c>
      <c r="E16" s="15">
        <f>COUNTIFS(Dados_Brutos!A:A,"&gt;="&amp;$A16,Dados_Brutos!A:A,"&lt;="&amp;EOMONTH($A16,0),Dados_Brutos!K:K,"*Médio*")</f>
        <v>0</v>
      </c>
      <c r="F16" s="15">
        <f>COUNTIFS(Dados_Brutos!A:A,"&gt;="&amp;$A16,Dados_Brutos!A:A,"&lt;="&amp;EOMONTH($A16,0),Dados_Brutos!K:K,"*Alto*")</f>
        <v>0</v>
      </c>
      <c r="G16" s="22">
        <f>B16*Config!$B$2</f>
        <v>2264356.0167999999</v>
      </c>
      <c r="H16" s="69">
        <f t="shared" si="0"/>
        <v>1.698754246885617E-2</v>
      </c>
      <c r="I16" s="21" t="str">
        <f>IFERROR(AVERAGEIFS(Dados_Brutos!J:J, Dados_Brutos!A:A, "&gt;="&amp;A16, Dados_Brutos!A:A, "&lt;="&amp;EOMONTH(A16,0)),"-")</f>
        <v>-</v>
      </c>
      <c r="J16" s="70">
        <f>(1-(SUMIFS(Dados_Brutos!J:J,Dados_Brutos!A:A,"&gt;="&amp;DATE(2024,1,1),Dados_Brutos!A:A,"&lt;="&amp;DATE(2025,12,31))/(47*24*30)))</f>
        <v>0.95537825059101655</v>
      </c>
    </row>
    <row r="17" spans="1:10" x14ac:dyDescent="0.3">
      <c r="A17" s="73">
        <v>45519</v>
      </c>
      <c r="B17" s="15">
        <f>SUMIFS(Dados_Brutos!E:E,Dados_Brutos!A:A,"&gt;="&amp;DATE(2024,1,1),Dados_Brutos!A:A,"&lt;="&amp;DATE(2025,12,1))</f>
        <v>1766</v>
      </c>
      <c r="C17" s="15">
        <f>COUNTIFS(Dados_Brutos!A:A,"&gt;="&amp;DATE(2024,1,1),Dados_Brutos!A:A,"&lt;="&amp;DATE(2025,12,31),Dados_Brutos!H:H,"Fora de Operação")</f>
        <v>31</v>
      </c>
      <c r="D17" s="15">
        <f>COUNTIFS(Dados_Brutos!A:A,"&gt;="&amp;$A17,Dados_Brutos!A:A,"&lt;="&amp;EOMONTH($A17,0),Dados_Brutos!K:K,"*Baixo*")</f>
        <v>0</v>
      </c>
      <c r="E17" s="15">
        <f>COUNTIFS(Dados_Brutos!A:A,"&gt;="&amp;$A17,Dados_Brutos!A:A,"&lt;="&amp;EOMONTH($A17,0),Dados_Brutos!K:K,"*Médio*")</f>
        <v>0</v>
      </c>
      <c r="F17" s="15">
        <f>COUNTIFS(Dados_Brutos!A:A,"&gt;="&amp;$A17,Dados_Brutos!A:A,"&lt;="&amp;EOMONTH($A17,0),Dados_Brutos!K:K,"*Alto*")</f>
        <v>0</v>
      </c>
      <c r="G17" s="22">
        <f>B17*Config!$B$2</f>
        <v>2264356.0167999999</v>
      </c>
      <c r="H17" s="69">
        <f t="shared" si="0"/>
        <v>1.698754246885617E-2</v>
      </c>
      <c r="I17" s="21" t="str">
        <f>IFERROR(AVERAGEIFS(Dados_Brutos!J:J, Dados_Brutos!A:A, "&gt;="&amp;A17, Dados_Brutos!A:A, "&lt;="&amp;EOMONTH(A17,0)),"-")</f>
        <v>-</v>
      </c>
      <c r="J17" s="70">
        <f>(1-(SUMIFS(Dados_Brutos!J:J,Dados_Brutos!A:A,"&gt;="&amp;DATE(2024,1,1),Dados_Brutos!A:A,"&lt;="&amp;DATE(2025,12,31))/(47*24*30)))</f>
        <v>0.95537825059101655</v>
      </c>
    </row>
    <row r="18" spans="1:10" x14ac:dyDescent="0.3">
      <c r="A18" s="73">
        <v>45558</v>
      </c>
      <c r="B18" s="15">
        <f>SUMIFS(Dados_Brutos!E:E,Dados_Brutos!A:A,"&gt;="&amp;DATE(2024,1,1),Dados_Brutos!A:A,"&lt;="&amp;DATE(2025,12,1))</f>
        <v>1766</v>
      </c>
      <c r="C18" s="15">
        <f>COUNTIFS(Dados_Brutos!A:A,"&gt;="&amp;DATE(2024,1,1),Dados_Brutos!A:A,"&lt;="&amp;DATE(2025,12,31),Dados_Brutos!H:H,"Fora de Operação")</f>
        <v>31</v>
      </c>
      <c r="D18" s="15">
        <f>COUNTIFS(Dados_Brutos!A:A,"&gt;="&amp;$A18,Dados_Brutos!A:A,"&lt;="&amp;EOMONTH($A18,0),Dados_Brutos!K:K,"*Baixo*")</f>
        <v>0</v>
      </c>
      <c r="E18" s="15">
        <f>COUNTIFS(Dados_Brutos!A:A,"&gt;="&amp;$A18,Dados_Brutos!A:A,"&lt;="&amp;EOMONTH($A18,0),Dados_Brutos!K:K,"*Médio*")</f>
        <v>0</v>
      </c>
      <c r="F18" s="15">
        <f>COUNTIFS(Dados_Brutos!A:A,"&gt;="&amp;$A18,Dados_Brutos!A:A,"&lt;="&amp;EOMONTH($A18,0),Dados_Brutos!K:K,"*Alto*")</f>
        <v>0</v>
      </c>
      <c r="G18" s="22">
        <f>B18*Config!$B$2</f>
        <v>2264356.0167999999</v>
      </c>
      <c r="H18" s="69">
        <f t="shared" si="0"/>
        <v>1.698754246885617E-2</v>
      </c>
      <c r="I18" s="21" t="str">
        <f>IFERROR(AVERAGEIFS(Dados_Brutos!J:J, Dados_Brutos!A:A, "&gt;="&amp;A18, Dados_Brutos!A:A, "&lt;="&amp;EOMONTH(A18,0)),"-")</f>
        <v>-</v>
      </c>
      <c r="J18" s="70">
        <f>(1-(SUMIFS(Dados_Brutos!J:J,Dados_Brutos!A:A,"&gt;="&amp;DATE(2024,1,1),Dados_Brutos!A:A,"&lt;="&amp;DATE(2025,12,31))/(47*24*30)))</f>
        <v>0.95537825059101655</v>
      </c>
    </row>
    <row r="19" spans="1:10" x14ac:dyDescent="0.3">
      <c r="A19" s="73">
        <v>45568</v>
      </c>
      <c r="B19" s="15">
        <f>SUMIFS(Dados_Brutos!E:E,Dados_Brutos!A:A,"&gt;="&amp;DATE(2024,1,1),Dados_Brutos!A:A,"&lt;="&amp;DATE(2025,12,1))</f>
        <v>1766</v>
      </c>
      <c r="C19" s="15">
        <f>COUNTIFS(Dados_Brutos!A:A,"&gt;="&amp;DATE(2024,1,1),Dados_Brutos!A:A,"&lt;="&amp;DATE(2025,12,31),Dados_Brutos!H:H,"Fora de Operação")</f>
        <v>31</v>
      </c>
      <c r="D19" s="15">
        <f>COUNTIFS(Dados_Brutos!A:A,"&gt;="&amp;$A19,Dados_Brutos!A:A,"&lt;="&amp;EOMONTH($A19,0),Dados_Brutos!K:K,"*Baixo*")</f>
        <v>1</v>
      </c>
      <c r="E19" s="15">
        <f>COUNTIFS(Dados_Brutos!A:A,"&gt;="&amp;$A19,Dados_Brutos!A:A,"&lt;="&amp;EOMONTH($A19,0),Dados_Brutos!K:K,"*Médio*")</f>
        <v>0</v>
      </c>
      <c r="F19" s="15">
        <f>COUNTIFS(Dados_Brutos!A:A,"&gt;="&amp;$A19,Dados_Brutos!A:A,"&lt;="&amp;EOMONTH($A19,0),Dados_Brutos!K:K,"*Alto*")</f>
        <v>0</v>
      </c>
      <c r="G19" s="22">
        <f>B19*Config!$B$2</f>
        <v>2264356.0167999999</v>
      </c>
      <c r="H19" s="69">
        <f t="shared" si="0"/>
        <v>1.698754246885617E-2</v>
      </c>
      <c r="I19" s="21">
        <f>IFERROR(AVERAGEIFS(Dados_Brutos!J:J, Dados_Brutos!A:A, "&gt;="&amp;A19, Dados_Brutos!A:A, "&lt;="&amp;EOMONTH(A19,0)),"-")</f>
        <v>35</v>
      </c>
      <c r="J19" s="70">
        <f>(1-(SUMIFS(Dados_Brutos!J:J,Dados_Brutos!A:A,"&gt;="&amp;DATE(2024,1,1),Dados_Brutos!A:A,"&lt;="&amp;DATE(2025,12,31))/(47*24*30)))</f>
        <v>0.95537825059101655</v>
      </c>
    </row>
    <row r="20" spans="1:10" x14ac:dyDescent="0.3">
      <c r="A20" s="73">
        <v>45580</v>
      </c>
      <c r="B20" s="15">
        <f>SUMIFS(Dados_Brutos!E:E,Dados_Brutos!A:A,"&gt;="&amp;DATE(2024,1,1),Dados_Brutos!A:A,"&lt;="&amp;DATE(2025,12,1))</f>
        <v>1766</v>
      </c>
      <c r="C20" s="15">
        <f>COUNTIFS(Dados_Brutos!A:A,"&gt;="&amp;DATE(2024,1,1),Dados_Brutos!A:A,"&lt;="&amp;DATE(2025,12,31),Dados_Brutos!H:H,"Fora de Operação")</f>
        <v>31</v>
      </c>
      <c r="D20" s="15">
        <f>COUNTIFS(Dados_Brutos!A:A,"&gt;="&amp;$A20,Dados_Brutos!A:A,"&lt;="&amp;EOMONTH($A20,0),Dados_Brutos!K:K,"*Baixo*")</f>
        <v>1</v>
      </c>
      <c r="E20" s="15">
        <f>COUNTIFS(Dados_Brutos!A:A,"&gt;="&amp;$A20,Dados_Brutos!A:A,"&lt;="&amp;EOMONTH($A20,0),Dados_Brutos!K:K,"*Médio*")</f>
        <v>0</v>
      </c>
      <c r="F20" s="15">
        <f>COUNTIFS(Dados_Brutos!A:A,"&gt;="&amp;$A20,Dados_Brutos!A:A,"&lt;="&amp;EOMONTH($A20,0),Dados_Brutos!K:K,"*Alto*")</f>
        <v>0</v>
      </c>
      <c r="G20" s="22">
        <f>B20*Config!$B$2</f>
        <v>2264356.0167999999</v>
      </c>
      <c r="H20" s="69">
        <f t="shared" si="0"/>
        <v>1.698754246885617E-2</v>
      </c>
      <c r="I20" s="21">
        <f>IFERROR(AVERAGEIFS(Dados_Brutos!J:J, Dados_Brutos!A:A, "&gt;="&amp;A20, Dados_Brutos!A:A, "&lt;="&amp;EOMONTH(A20,0)),"-")</f>
        <v>35</v>
      </c>
      <c r="J20" s="70">
        <f>(1-(SUMIFS(Dados_Brutos!J:J,Dados_Brutos!A:A,"&gt;="&amp;DATE(2024,1,1),Dados_Brutos!A:A,"&lt;="&amp;DATE(2025,12,31))/(47*24*30)))</f>
        <v>0.95537825059101655</v>
      </c>
    </row>
    <row r="21" spans="1:10" x14ac:dyDescent="0.3">
      <c r="A21" s="73">
        <v>45593</v>
      </c>
      <c r="B21" s="15">
        <f>SUMIFS(Dados_Brutos!E:E,Dados_Brutos!A:A,"&gt;="&amp;DATE(2024,1,1),Dados_Brutos!A:A,"&lt;="&amp;DATE(2025,12,1))</f>
        <v>1766</v>
      </c>
      <c r="C21" s="15">
        <f>COUNTIFS(Dados_Brutos!A:A,"&gt;="&amp;DATE(2024,1,1),Dados_Brutos!A:A,"&lt;="&amp;DATE(2025,12,31),Dados_Brutos!H:H,"Fora de Operação")</f>
        <v>31</v>
      </c>
      <c r="D21" s="15">
        <f>COUNTIFS(Dados_Brutos!A:A,"&gt;="&amp;$A21,Dados_Brutos!A:A,"&lt;="&amp;EOMONTH($A21,0),Dados_Brutos!K:K,"*Baixo*")</f>
        <v>0</v>
      </c>
      <c r="E21" s="15">
        <f>COUNTIFS(Dados_Brutos!A:A,"&gt;="&amp;$A21,Dados_Brutos!A:A,"&lt;="&amp;EOMONTH($A21,0),Dados_Brutos!K:K,"*Médio*")</f>
        <v>0</v>
      </c>
      <c r="F21" s="15">
        <f>COUNTIFS(Dados_Brutos!A:A,"&gt;="&amp;$A21,Dados_Brutos!A:A,"&lt;="&amp;EOMONTH($A21,0),Dados_Brutos!K:K,"*Alto*")</f>
        <v>0</v>
      </c>
      <c r="G21" s="22">
        <f>B21*Config!$B$2</f>
        <v>2264356.0167999999</v>
      </c>
      <c r="H21" s="69">
        <f t="shared" si="0"/>
        <v>1.698754246885617E-2</v>
      </c>
      <c r="I21" s="21" t="str">
        <f>IFERROR(AVERAGEIFS(Dados_Brutos!J:J, Dados_Brutos!A:A, "&gt;="&amp;A21, Dados_Brutos!A:A, "&lt;="&amp;EOMONTH(A21,0)),"-")</f>
        <v>-</v>
      </c>
      <c r="J21" s="70">
        <f>(1-(SUMIFS(Dados_Brutos!J:J,Dados_Brutos!A:A,"&gt;="&amp;DATE(2024,1,1),Dados_Brutos!A:A,"&lt;="&amp;DATE(2025,12,31))/(47*24*30)))</f>
        <v>0.95537825059101655</v>
      </c>
    </row>
    <row r="22" spans="1:10" x14ac:dyDescent="0.3">
      <c r="A22" s="73">
        <v>45597</v>
      </c>
      <c r="B22" s="15">
        <f>SUMIFS(Dados_Brutos!E:E,Dados_Brutos!A:A,"&gt;="&amp;DATE(2024,1,1),Dados_Brutos!A:A,"&lt;="&amp;DATE(2025,12,1))</f>
        <v>1766</v>
      </c>
      <c r="C22" s="15">
        <f>COUNTIFS(Dados_Brutos!A:A,"&gt;="&amp;DATE(2024,1,1),Dados_Brutos!A:A,"&lt;="&amp;DATE(2025,12,31),Dados_Brutos!H:H,"Fora de Operação")</f>
        <v>31</v>
      </c>
      <c r="D22" s="15">
        <f>COUNTIFS(Dados_Brutos!A:A,"&gt;="&amp;$A22,Dados_Brutos!A:A,"&lt;="&amp;EOMONTH($A22,0),Dados_Brutos!K:K,"*Baixo*")</f>
        <v>23</v>
      </c>
      <c r="E22" s="15">
        <f>COUNTIFS(Dados_Brutos!A:A,"&gt;="&amp;$A22,Dados_Brutos!A:A,"&lt;="&amp;EOMONTH($A22,0),Dados_Brutos!K:K,"*Médio*")</f>
        <v>3</v>
      </c>
      <c r="F22" s="15">
        <f>COUNTIFS(Dados_Brutos!A:A,"&gt;="&amp;$A22,Dados_Brutos!A:A,"&lt;="&amp;EOMONTH($A22,0),Dados_Brutos!K:K,"*Alto*")</f>
        <v>1</v>
      </c>
      <c r="G22" s="22">
        <f>B22*Config!$B$2</f>
        <v>2264356.0167999999</v>
      </c>
      <c r="H22" s="69">
        <f t="shared" si="0"/>
        <v>1.698754246885617E-2</v>
      </c>
      <c r="I22" s="21">
        <f>IFERROR(AVERAGEIFS(Dados_Brutos!J:J, Dados_Brutos!A:A, "&gt;="&amp;A22, Dados_Brutos!A:A, "&lt;="&amp;EOMONTH(A22,0)),"-")</f>
        <v>0.84</v>
      </c>
      <c r="J22" s="70">
        <f>(1-(SUMIFS(Dados_Brutos!J:J,Dados_Brutos!A:A,"&gt;="&amp;DATE(2024,1,1),Dados_Brutos!A:A,"&lt;="&amp;DATE(2025,12,31))/(47*24*30)))</f>
        <v>0.95537825059101655</v>
      </c>
    </row>
    <row r="23" spans="1:10" x14ac:dyDescent="0.3">
      <c r="A23" s="73">
        <v>45624</v>
      </c>
      <c r="B23" s="15">
        <f>SUMIFS(Dados_Brutos!E:E,Dados_Brutos!A:A,"&gt;="&amp;DATE(2024,1,1),Dados_Brutos!A:A,"&lt;="&amp;DATE(2025,12,1))</f>
        <v>1766</v>
      </c>
      <c r="C23" s="15">
        <f>COUNTIFS(Dados_Brutos!A:A,"&gt;="&amp;DATE(2024,1,1),Dados_Brutos!A:A,"&lt;="&amp;DATE(2025,12,31),Dados_Brutos!H:H,"Fora de Operação")</f>
        <v>31</v>
      </c>
      <c r="D23" s="15">
        <f>COUNTIFS(Dados_Brutos!A:A,"&gt;="&amp;$A23,Dados_Brutos!A:A,"&lt;="&amp;EOMONTH($A23,0),Dados_Brutos!K:K,"*Baixo*")</f>
        <v>6</v>
      </c>
      <c r="E23" s="15">
        <f>COUNTIFS(Dados_Brutos!A:A,"&gt;="&amp;$A23,Dados_Brutos!A:A,"&lt;="&amp;EOMONTH($A23,0),Dados_Brutos!K:K,"*Médio*")</f>
        <v>1</v>
      </c>
      <c r="F23" s="15">
        <f>COUNTIFS(Dados_Brutos!A:A,"&gt;="&amp;$A23,Dados_Brutos!A:A,"&lt;="&amp;EOMONTH($A23,0),Dados_Brutos!K:K,"*Alto*")</f>
        <v>0</v>
      </c>
      <c r="G23" s="22">
        <f>B23*Config!$B$2</f>
        <v>2264356.0167999999</v>
      </c>
      <c r="H23" s="69">
        <f t="shared" si="0"/>
        <v>1.698754246885617E-2</v>
      </c>
      <c r="I23" s="21">
        <f>IFERROR(AVERAGEIFS(Dados_Brutos!J:J, Dados_Brutos!A:A, "&gt;="&amp;A23, Dados_Brutos!A:A, "&lt;="&amp;EOMONTH(A23,0)),"-")</f>
        <v>0</v>
      </c>
      <c r="J23" s="70">
        <f>(1-(SUMIFS(Dados_Brutos!J:J,Dados_Brutos!A:A,"&gt;="&amp;DATE(2024,1,1),Dados_Brutos!A:A,"&lt;="&amp;DATE(2025,12,31))/(47*24*30)))</f>
        <v>0.95537825059101655</v>
      </c>
    </row>
    <row r="24" spans="1:10" x14ac:dyDescent="0.3">
      <c r="A24" s="73">
        <v>45630</v>
      </c>
      <c r="B24" s="15">
        <f>SUMIFS(Dados_Brutos!E:E,Dados_Brutos!A:A,"&gt;="&amp;DATE(2024,1,1),Dados_Brutos!A:A,"&lt;="&amp;DATE(2025,12,1))</f>
        <v>1766</v>
      </c>
      <c r="C24" s="15">
        <f>COUNTIFS(Dados_Brutos!A:A,"&gt;="&amp;DATE(2024,1,1),Dados_Brutos!A:A,"&lt;="&amp;DATE(2025,12,31),Dados_Brutos!H:H,"Fora de Operação")</f>
        <v>31</v>
      </c>
      <c r="D24" s="15">
        <f>COUNTIFS(Dados_Brutos!A:A,"&gt;="&amp;$A24,Dados_Brutos!A:A,"&lt;="&amp;EOMONTH($A24,0),Dados_Brutos!K:K,"*Baixo*")</f>
        <v>12</v>
      </c>
      <c r="E24" s="15">
        <f>COUNTIFS(Dados_Brutos!A:A,"&gt;="&amp;$A24,Dados_Brutos!A:A,"&lt;="&amp;EOMONTH($A24,0),Dados_Brutos!K:K,"*Médio*")</f>
        <v>3</v>
      </c>
      <c r="F24" s="15">
        <f>COUNTIFS(Dados_Brutos!A:A,"&gt;="&amp;$A24,Dados_Brutos!A:A,"&lt;="&amp;EOMONTH($A24,0),Dados_Brutos!K:K,"*Alto*")</f>
        <v>0</v>
      </c>
      <c r="G24" s="22">
        <f>B24*Config!$B$2</f>
        <v>2264356.0167999999</v>
      </c>
      <c r="H24" s="69">
        <f t="shared" si="0"/>
        <v>1.698754246885617E-2</v>
      </c>
      <c r="I24" s="21">
        <f>IFERROR(AVERAGEIFS(Dados_Brutos!J:J, Dados_Brutos!A:A, "&gt;="&amp;A24, Dados_Brutos!A:A, "&lt;="&amp;EOMONTH(A24,0)),"-")</f>
        <v>0.14285714285714285</v>
      </c>
      <c r="J24" s="70">
        <f>(1-(SUMIFS(Dados_Brutos!J:J,Dados_Brutos!A:A,"&gt;="&amp;DATE(2024,1,1),Dados_Brutos!A:A,"&lt;="&amp;DATE(2025,12,31))/(47*24*30)))</f>
        <v>0.95537825059101655</v>
      </c>
    </row>
    <row r="25" spans="1:10" x14ac:dyDescent="0.3">
      <c r="A25" s="73">
        <v>45631</v>
      </c>
      <c r="B25" s="15">
        <f>SUMIFS(Dados_Brutos!E:E,Dados_Brutos!A:A,"&gt;="&amp;DATE(2024,1,1),Dados_Brutos!A:A,"&lt;="&amp;DATE(2025,12,1))</f>
        <v>1766</v>
      </c>
      <c r="C25" s="15">
        <f>COUNTIFS(Dados_Brutos!A:A,"&gt;="&amp;DATE(2024,1,1),Dados_Brutos!A:A,"&lt;="&amp;DATE(2025,12,31),Dados_Brutos!H:H,"Fora de Operação")</f>
        <v>31</v>
      </c>
      <c r="D25" s="15">
        <f>COUNTIFS(Dados_Brutos!A:A,"&gt;="&amp;$A25,Dados_Brutos!A:A,"&lt;="&amp;EOMONTH($A25,0),Dados_Brutos!K:K,"*Baixo*")</f>
        <v>11</v>
      </c>
      <c r="E25" s="15">
        <f>COUNTIFS(Dados_Brutos!A:A,"&gt;="&amp;$A25,Dados_Brutos!A:A,"&lt;="&amp;EOMONTH($A25,0),Dados_Brutos!K:K,"*Médio*")</f>
        <v>1</v>
      </c>
      <c r="F25" s="15">
        <f>COUNTIFS(Dados_Brutos!A:A,"&gt;="&amp;$A25,Dados_Brutos!A:A,"&lt;="&amp;EOMONTH($A25,0),Dados_Brutos!K:K,"*Alto*")</f>
        <v>0</v>
      </c>
      <c r="G25" s="22">
        <f>B25*Config!$B$2</f>
        <v>2264356.0167999999</v>
      </c>
      <c r="H25" s="69">
        <f t="shared" si="0"/>
        <v>1.698754246885617E-2</v>
      </c>
      <c r="I25" s="21">
        <f>IFERROR(AVERAGEIFS(Dados_Brutos!J:J, Dados_Brutos!A:A, "&gt;="&amp;A25, Dados_Brutos!A:A, "&lt;="&amp;EOMONTH(A25,0)),"-")</f>
        <v>0.16666666666666666</v>
      </c>
      <c r="J25" s="70">
        <f>(1-(SUMIFS(Dados_Brutos!J:J,Dados_Brutos!A:A,"&gt;="&amp;DATE(2024,1,1),Dados_Brutos!A:A,"&lt;="&amp;DATE(2025,12,31))/(47*24*30)))</f>
        <v>0.95537825059101655</v>
      </c>
    </row>
    <row r="26" spans="1:10" x14ac:dyDescent="0.3">
      <c r="A26" s="73">
        <v>45632</v>
      </c>
      <c r="B26" s="15">
        <f>SUMIFS(Dados_Brutos!E:E,Dados_Brutos!A:A,"&gt;="&amp;DATE(2024,1,1),Dados_Brutos!A:A,"&lt;="&amp;DATE(2025,12,1))</f>
        <v>1766</v>
      </c>
      <c r="C26" s="15">
        <f>COUNTIFS(Dados_Brutos!A:A,"&gt;="&amp;DATE(2024,1,1),Dados_Brutos!A:A,"&lt;="&amp;DATE(2025,12,31),Dados_Brutos!H:H,"Fora de Operação")</f>
        <v>31</v>
      </c>
      <c r="D26" s="15">
        <f>COUNTIFS(Dados_Brutos!A:A,"&gt;="&amp;$A26,Dados_Brutos!A:A,"&lt;="&amp;EOMONTH($A26,0),Dados_Brutos!K:K,"*Baixo*")</f>
        <v>11</v>
      </c>
      <c r="E26" s="15">
        <f>COUNTIFS(Dados_Brutos!A:A,"&gt;="&amp;$A26,Dados_Brutos!A:A,"&lt;="&amp;EOMONTH($A26,0),Dados_Brutos!K:K,"*Médio*")</f>
        <v>0</v>
      </c>
      <c r="F26" s="15">
        <f>COUNTIFS(Dados_Brutos!A:A,"&gt;="&amp;$A26,Dados_Brutos!A:A,"&lt;="&amp;EOMONTH($A26,0),Dados_Brutos!K:K,"*Alto*")</f>
        <v>0</v>
      </c>
      <c r="G26" s="22">
        <f>B26*Config!$B$2</f>
        <v>2264356.0167999999</v>
      </c>
      <c r="H26" s="69">
        <f t="shared" si="0"/>
        <v>1.698754246885617E-2</v>
      </c>
      <c r="I26" s="21">
        <f>IFERROR(AVERAGEIFS(Dados_Brutos!J:J, Dados_Brutos!A:A, "&gt;="&amp;A26, Dados_Brutos!A:A, "&lt;="&amp;EOMONTH(A26,0)),"-")</f>
        <v>0.18181818181818182</v>
      </c>
      <c r="J26" s="70">
        <f>(1-(SUMIFS(Dados_Brutos!J:J,Dados_Brutos!A:A,"&gt;="&amp;DATE(2024,1,1),Dados_Brutos!A:A,"&lt;="&amp;DATE(2025,12,31))/(47*24*30)))</f>
        <v>0.95537825059101655</v>
      </c>
    </row>
    <row r="27" spans="1:10" x14ac:dyDescent="0.3">
      <c r="A27" s="73">
        <v>45635</v>
      </c>
      <c r="B27" s="15">
        <f>SUMIFS(Dados_Brutos!E:E,Dados_Brutos!A:A,"&gt;="&amp;DATE(2024,1,1),Dados_Brutos!A:A,"&lt;="&amp;DATE(2025,12,1))</f>
        <v>1766</v>
      </c>
      <c r="C27" s="15">
        <f>COUNTIFS(Dados_Brutos!A:A,"&gt;="&amp;DATE(2024,1,1),Dados_Brutos!A:A,"&lt;="&amp;DATE(2025,12,31),Dados_Brutos!H:H,"Fora de Operação")</f>
        <v>31</v>
      </c>
      <c r="D27" s="15">
        <f>COUNTIFS(Dados_Brutos!A:A,"&gt;="&amp;$A27,Dados_Brutos!A:A,"&lt;="&amp;EOMONTH($A27,0),Dados_Brutos!K:K,"*Baixo*")</f>
        <v>10</v>
      </c>
      <c r="E27" s="15">
        <f>COUNTIFS(Dados_Brutos!A:A,"&gt;="&amp;$A27,Dados_Brutos!A:A,"&lt;="&amp;EOMONTH($A27,0),Dados_Brutos!K:K,"*Médio*")</f>
        <v>0</v>
      </c>
      <c r="F27" s="15">
        <f>COUNTIFS(Dados_Brutos!A:A,"&gt;="&amp;$A27,Dados_Brutos!A:A,"&lt;="&amp;EOMONTH($A27,0),Dados_Brutos!K:K,"*Alto*")</f>
        <v>0</v>
      </c>
      <c r="G27" s="22">
        <f>B27*Config!$B$2</f>
        <v>2264356.0167999999</v>
      </c>
      <c r="H27" s="69">
        <f t="shared" si="0"/>
        <v>1.698754246885617E-2</v>
      </c>
      <c r="I27" s="21">
        <f>IFERROR(AVERAGEIFS(Dados_Brutos!J:J, Dados_Brutos!A:A, "&gt;="&amp;A27, Dados_Brutos!A:A, "&lt;="&amp;EOMONTH(A27,0)),"-")</f>
        <v>0.2</v>
      </c>
      <c r="J27" s="70">
        <f>(1-(SUMIFS(Dados_Brutos!J:J,Dados_Brutos!A:A,"&gt;="&amp;DATE(2024,1,1),Dados_Brutos!A:A,"&lt;="&amp;DATE(2025,12,31))/(47*24*30)))</f>
        <v>0.95537825059101655</v>
      </c>
    </row>
    <row r="28" spans="1:10" x14ac:dyDescent="0.3">
      <c r="A28" s="73">
        <v>45636</v>
      </c>
      <c r="B28" s="15">
        <f>SUMIFS(Dados_Brutos!E:E,Dados_Brutos!A:A,"&gt;="&amp;DATE(2024,1,1),Dados_Brutos!A:A,"&lt;="&amp;DATE(2025,12,1))</f>
        <v>1766</v>
      </c>
      <c r="C28" s="15">
        <f>COUNTIFS(Dados_Brutos!A:A,"&gt;="&amp;DATE(2024,1,1),Dados_Brutos!A:A,"&lt;="&amp;DATE(2025,12,31),Dados_Brutos!H:H,"Fora de Operação")</f>
        <v>31</v>
      </c>
      <c r="D28" s="15">
        <f>COUNTIFS(Dados_Brutos!A:A,"&gt;="&amp;$A28,Dados_Brutos!A:A,"&lt;="&amp;EOMONTH($A28,0),Dados_Brutos!K:K,"*Baixo*")</f>
        <v>9</v>
      </c>
      <c r="E28" s="15">
        <f>COUNTIFS(Dados_Brutos!A:A,"&gt;="&amp;$A28,Dados_Brutos!A:A,"&lt;="&amp;EOMONTH($A28,0),Dados_Brutos!K:K,"*Médio*")</f>
        <v>0</v>
      </c>
      <c r="F28" s="15">
        <f>COUNTIFS(Dados_Brutos!A:A,"&gt;="&amp;$A28,Dados_Brutos!A:A,"&lt;="&amp;EOMONTH($A28,0),Dados_Brutos!K:K,"*Alto*")</f>
        <v>0</v>
      </c>
      <c r="G28" s="22">
        <f>B28*Config!$B$2</f>
        <v>2264356.0167999999</v>
      </c>
      <c r="H28" s="69">
        <f t="shared" si="0"/>
        <v>1.698754246885617E-2</v>
      </c>
      <c r="I28" s="21">
        <f>IFERROR(AVERAGEIFS(Dados_Brutos!J:J, Dados_Brutos!A:A, "&gt;="&amp;A28, Dados_Brutos!A:A, "&lt;="&amp;EOMONTH(A28,0)),"-")</f>
        <v>0.1111111111111111</v>
      </c>
      <c r="J28" s="70">
        <f>(1-(SUMIFS(Dados_Brutos!J:J,Dados_Brutos!A:A,"&gt;="&amp;DATE(2024,1,1),Dados_Brutos!A:A,"&lt;="&amp;DATE(2025,12,31))/(47*24*30)))</f>
        <v>0.95537825059101655</v>
      </c>
    </row>
    <row r="29" spans="1:10" x14ac:dyDescent="0.3">
      <c r="A29" s="73">
        <v>45639</v>
      </c>
      <c r="B29" s="15">
        <f>SUMIFS(Dados_Brutos!E:E,Dados_Brutos!A:A,"&gt;="&amp;DATE(2024,1,1),Dados_Brutos!A:A,"&lt;="&amp;DATE(2025,12,1))</f>
        <v>1766</v>
      </c>
      <c r="C29" s="15">
        <f>COUNTIFS(Dados_Brutos!A:A,"&gt;="&amp;DATE(2024,1,1),Dados_Brutos!A:A,"&lt;="&amp;DATE(2025,12,31),Dados_Brutos!H:H,"Fora de Operação")</f>
        <v>31</v>
      </c>
      <c r="D29" s="15">
        <f>COUNTIFS(Dados_Brutos!A:A,"&gt;="&amp;$A29,Dados_Brutos!A:A,"&lt;="&amp;EOMONTH($A29,0),Dados_Brutos!K:K,"*Baixo*")</f>
        <v>7</v>
      </c>
      <c r="E29" s="15">
        <f>COUNTIFS(Dados_Brutos!A:A,"&gt;="&amp;$A29,Dados_Brutos!A:A,"&lt;="&amp;EOMONTH($A29,0),Dados_Brutos!K:K,"*Médio*")</f>
        <v>0</v>
      </c>
      <c r="F29" s="15">
        <f>COUNTIFS(Dados_Brutos!A:A,"&gt;="&amp;$A29,Dados_Brutos!A:A,"&lt;="&amp;EOMONTH($A29,0),Dados_Brutos!K:K,"*Alto*")</f>
        <v>0</v>
      </c>
      <c r="G29" s="22">
        <f>B29*Config!$B$2</f>
        <v>2264356.0167999999</v>
      </c>
      <c r="H29" s="69">
        <f t="shared" si="0"/>
        <v>1.698754246885617E-2</v>
      </c>
      <c r="I29" s="21">
        <f>IFERROR(AVERAGEIFS(Dados_Brutos!J:J, Dados_Brutos!A:A, "&gt;="&amp;A29, Dados_Brutos!A:A, "&lt;="&amp;EOMONTH(A29,0)),"-")</f>
        <v>0.14285714285714285</v>
      </c>
      <c r="J29" s="70">
        <f>(1-(SUMIFS(Dados_Brutos!J:J,Dados_Brutos!A:A,"&gt;="&amp;DATE(2024,1,1),Dados_Brutos!A:A,"&lt;="&amp;DATE(2025,12,31))/(47*24*30)))</f>
        <v>0.95537825059101655</v>
      </c>
    </row>
    <row r="30" spans="1:10" x14ac:dyDescent="0.3">
      <c r="A30" s="73">
        <v>45643</v>
      </c>
      <c r="B30" s="15">
        <f>SUMIFS(Dados_Brutos!E:E,Dados_Brutos!A:A,"&gt;="&amp;DATE(2024,1,1),Dados_Brutos!A:A,"&lt;="&amp;DATE(2025,12,1))</f>
        <v>1766</v>
      </c>
      <c r="C30" s="15">
        <f>COUNTIFS(Dados_Brutos!A:A,"&gt;="&amp;DATE(2024,1,1),Dados_Brutos!A:A,"&lt;="&amp;DATE(2025,12,31),Dados_Brutos!H:H,"Fora de Operação")</f>
        <v>31</v>
      </c>
      <c r="D30" s="15">
        <f>COUNTIFS(Dados_Brutos!A:A,"&gt;="&amp;$A30,Dados_Brutos!A:A,"&lt;="&amp;EOMONTH($A30,0),Dados_Brutos!K:K,"*Baixo*")</f>
        <v>2</v>
      </c>
      <c r="E30" s="15">
        <f>COUNTIFS(Dados_Brutos!A:A,"&gt;="&amp;$A30,Dados_Brutos!A:A,"&lt;="&amp;EOMONTH($A30,0),Dados_Brutos!K:K,"*Médio*")</f>
        <v>0</v>
      </c>
      <c r="F30" s="15">
        <f>COUNTIFS(Dados_Brutos!A:A,"&gt;="&amp;$A30,Dados_Brutos!A:A,"&lt;="&amp;EOMONTH($A30,0),Dados_Brutos!K:K,"*Alto*")</f>
        <v>0</v>
      </c>
      <c r="G30" s="22">
        <f>B30*Config!$B$2</f>
        <v>2264356.0167999999</v>
      </c>
      <c r="H30" s="69">
        <f t="shared" si="0"/>
        <v>1.698754246885617E-2</v>
      </c>
      <c r="I30" s="21">
        <f>IFERROR(AVERAGEIFS(Dados_Brutos!J:J, Dados_Brutos!A:A, "&gt;="&amp;A30, Dados_Brutos!A:A, "&lt;="&amp;EOMONTH(A30,0)),"-")</f>
        <v>0.5</v>
      </c>
      <c r="J30" s="70">
        <f>(1-(SUMIFS(Dados_Brutos!J:J,Dados_Brutos!A:A,"&gt;="&amp;DATE(2024,1,1),Dados_Brutos!A:A,"&lt;="&amp;DATE(2025,12,31))/(47*24*30)))</f>
        <v>0.95537825059101655</v>
      </c>
    </row>
    <row r="31" spans="1:10" x14ac:dyDescent="0.3">
      <c r="A31" s="73">
        <v>45645</v>
      </c>
      <c r="B31" s="15">
        <f>SUMIFS(Dados_Brutos!E:E,Dados_Brutos!A:A,"&gt;="&amp;DATE(2024,1,1),Dados_Brutos!A:A,"&lt;="&amp;DATE(2025,12,1))</f>
        <v>1766</v>
      </c>
      <c r="C31" s="15">
        <f>COUNTIFS(Dados_Brutos!A:A,"&gt;="&amp;DATE(2024,1,1),Dados_Brutos!A:A,"&lt;="&amp;DATE(2025,12,31),Dados_Brutos!H:H,"Fora de Operação")</f>
        <v>31</v>
      </c>
      <c r="D31" s="15">
        <f>COUNTIFS(Dados_Brutos!A:A,"&gt;="&amp;$A31,Dados_Brutos!A:A,"&lt;="&amp;EOMONTH($A31,0),Dados_Brutos!K:K,"*Baixo*")</f>
        <v>0</v>
      </c>
      <c r="E31" s="15">
        <f>COUNTIFS(Dados_Brutos!A:A,"&gt;="&amp;$A31,Dados_Brutos!A:A,"&lt;="&amp;EOMONTH($A31,0),Dados_Brutos!K:K,"*Médio*")</f>
        <v>0</v>
      </c>
      <c r="F31" s="15">
        <f>COUNTIFS(Dados_Brutos!A:A,"&gt;="&amp;$A31,Dados_Brutos!A:A,"&lt;="&amp;EOMONTH($A31,0),Dados_Brutos!K:K,"*Alto*")</f>
        <v>0</v>
      </c>
      <c r="G31" s="22">
        <f>B31*Config!$B$2</f>
        <v>2264356.0167999999</v>
      </c>
      <c r="H31" s="69">
        <f t="shared" si="0"/>
        <v>1.698754246885617E-2</v>
      </c>
      <c r="I31" s="21" t="str">
        <f>IFERROR(AVERAGEIFS(Dados_Brutos!J:J, Dados_Brutos!A:A, "&gt;="&amp;A31, Dados_Brutos!A:A, "&lt;="&amp;EOMONTH(A31,0)),"-")</f>
        <v>-</v>
      </c>
      <c r="J31" s="70">
        <f>(1-(SUMIFS(Dados_Brutos!J:J,Dados_Brutos!A:A,"&gt;="&amp;DATE(2024,1,1),Dados_Brutos!A:A,"&lt;="&amp;DATE(2025,12,31))/(47*24*30)))</f>
        <v>0.95537825059101655</v>
      </c>
    </row>
    <row r="32" spans="1:10" x14ac:dyDescent="0.3">
      <c r="A32" s="73">
        <v>45737</v>
      </c>
      <c r="B32" s="15">
        <f>SUMIFS(Dados_Brutos!E:E,Dados_Brutos!A:A,"&gt;="&amp;DATE(2024,1,1),Dados_Brutos!A:A,"&lt;="&amp;DATE(2025,12,1))</f>
        <v>1766</v>
      </c>
      <c r="C32" s="15">
        <f>COUNTIFS(Dados_Brutos!A:A,"&gt;="&amp;DATE(2024,1,1),Dados_Brutos!A:A,"&lt;="&amp;DATE(2025,12,31),Dados_Brutos!H:H,"Fora de Operação")</f>
        <v>31</v>
      </c>
      <c r="D32" s="15">
        <f>COUNTIFS(Dados_Brutos!A:A,"&gt;="&amp;$A32,Dados_Brutos!A:A,"&lt;="&amp;EOMONTH($A32,0),Dados_Brutos!K:K,"*Baixo*")</f>
        <v>3</v>
      </c>
      <c r="E32" s="15">
        <f>COUNTIFS(Dados_Brutos!A:A,"&gt;="&amp;$A32,Dados_Brutos!A:A,"&lt;="&amp;EOMONTH($A32,0),Dados_Brutos!K:K,"*Médio*")</f>
        <v>1</v>
      </c>
      <c r="F32" s="15">
        <f>COUNTIFS(Dados_Brutos!A:A,"&gt;="&amp;$A32,Dados_Brutos!A:A,"&lt;="&amp;EOMONTH($A32,0),Dados_Brutos!K:K,"*Alto*")</f>
        <v>0</v>
      </c>
      <c r="G32" s="22">
        <f>B32*Config!$B$2</f>
        <v>2264356.0167999999</v>
      </c>
      <c r="H32" s="69">
        <f t="shared" si="0"/>
        <v>1.698754246885617E-2</v>
      </c>
      <c r="I32" s="21">
        <f>IFERROR(AVERAGEIFS(Dados_Brutos!J:J, Dados_Brutos!A:A, "&gt;="&amp;A32, Dados_Brutos!A:A, "&lt;="&amp;EOMONTH(A32,0)),"-")</f>
        <v>0</v>
      </c>
      <c r="J32" s="70">
        <f>(1-(SUMIFS(Dados_Brutos!J:J,Dados_Brutos!A:A,"&gt;="&amp;DATE(2024,1,1),Dados_Brutos!A:A,"&lt;="&amp;DATE(2025,12,31))/(47*24*30)))</f>
        <v>0.95537825059101655</v>
      </c>
    </row>
    <row r="33" spans="1:10" x14ac:dyDescent="0.3">
      <c r="A33" s="73">
        <v>45750</v>
      </c>
      <c r="B33" s="15">
        <f>SUMIFS(Dados_Brutos!E:E,Dados_Brutos!A:A,"&gt;="&amp;DATE(2024,1,1),Dados_Brutos!A:A,"&lt;="&amp;DATE(2025,12,1))</f>
        <v>1766</v>
      </c>
      <c r="C33" s="15">
        <f>COUNTIFS(Dados_Brutos!A:A,"&gt;="&amp;DATE(2024,1,1),Dados_Brutos!A:A,"&lt;="&amp;DATE(2025,12,31),Dados_Brutos!H:H,"Fora de Operação")</f>
        <v>31</v>
      </c>
      <c r="D33" s="15">
        <f>COUNTIFS(Dados_Brutos!A:A,"&gt;="&amp;$A33,Dados_Brutos!A:A,"&lt;="&amp;EOMONTH($A33,0),Dados_Brutos!K:K,"*Baixo*")</f>
        <v>10</v>
      </c>
      <c r="E33" s="15">
        <f>COUNTIFS(Dados_Brutos!A:A,"&gt;="&amp;$A33,Dados_Brutos!A:A,"&lt;="&amp;EOMONTH($A33,0),Dados_Brutos!K:K,"*Médio*")</f>
        <v>0</v>
      </c>
      <c r="F33" s="15">
        <f>COUNTIFS(Dados_Brutos!A:A,"&gt;="&amp;$A33,Dados_Brutos!A:A,"&lt;="&amp;EOMONTH($A33,0),Dados_Brutos!K:K,"*Alto*")</f>
        <v>1</v>
      </c>
      <c r="G33" s="22">
        <f>B33*Config!$B$2</f>
        <v>2264356.0167999999</v>
      </c>
      <c r="H33" s="69">
        <f t="shared" si="0"/>
        <v>1.698754246885617E-2</v>
      </c>
      <c r="I33" s="21">
        <f>IFERROR(AVERAGEIFS(Dados_Brutos!J:J, Dados_Brutos!A:A, "&gt;="&amp;A33, Dados_Brutos!A:A, "&lt;="&amp;EOMONTH(A33,0)),"-")</f>
        <v>0.72727272727272729</v>
      </c>
      <c r="J33" s="70">
        <f>(1-(SUMIFS(Dados_Brutos!J:J,Dados_Brutos!A:A,"&gt;="&amp;DATE(2024,1,1),Dados_Brutos!A:A,"&lt;="&amp;DATE(2025,12,31))/(47*24*30)))</f>
        <v>0.95537825059101655</v>
      </c>
    </row>
    <row r="34" spans="1:10" x14ac:dyDescent="0.3">
      <c r="A34" s="73">
        <v>45764</v>
      </c>
      <c r="B34" s="15">
        <f>SUMIFS(Dados_Brutos!E:E,Dados_Brutos!A:A,"&gt;="&amp;DATE(2024,1,1),Dados_Brutos!A:A,"&lt;="&amp;DATE(2025,12,1))</f>
        <v>1766</v>
      </c>
      <c r="C34" s="15">
        <f>COUNTIFS(Dados_Brutos!A:A,"&gt;="&amp;DATE(2024,1,1),Dados_Brutos!A:A,"&lt;="&amp;DATE(2025,12,31),Dados_Brutos!H:H,"Fora de Operação")</f>
        <v>31</v>
      </c>
      <c r="D34" s="15">
        <f>COUNTIFS(Dados_Brutos!A:A,"&gt;="&amp;$A34,Dados_Brutos!A:A,"&lt;="&amp;EOMONTH($A34,0),Dados_Brutos!K:K,"*Baixo*")</f>
        <v>4</v>
      </c>
      <c r="E34" s="15">
        <f>COUNTIFS(Dados_Brutos!A:A,"&gt;="&amp;$A34,Dados_Brutos!A:A,"&lt;="&amp;EOMONTH($A34,0),Dados_Brutos!K:K,"*Médio*")</f>
        <v>0</v>
      </c>
      <c r="F34" s="15">
        <f>COUNTIFS(Dados_Brutos!A:A,"&gt;="&amp;$A34,Dados_Brutos!A:A,"&lt;="&amp;EOMONTH($A34,0),Dados_Brutos!K:K,"*Alto*")</f>
        <v>1</v>
      </c>
      <c r="G34" s="22">
        <f>B34*Config!$B$2</f>
        <v>2264356.0167999999</v>
      </c>
      <c r="H34" s="69">
        <f t="shared" si="0"/>
        <v>1.698754246885617E-2</v>
      </c>
      <c r="I34" s="21">
        <f>IFERROR(AVERAGEIFS(Dados_Brutos!J:J, Dados_Brutos!A:A, "&gt;="&amp;A34, Dados_Brutos!A:A, "&lt;="&amp;EOMONTH(A34,0)),"-")</f>
        <v>0.4</v>
      </c>
      <c r="J34" s="70">
        <f>(1-(SUMIFS(Dados_Brutos!J:J,Dados_Brutos!A:A,"&gt;="&amp;DATE(2024,1,1),Dados_Brutos!A:A,"&lt;="&amp;DATE(2025,12,31))/(47*24*30)))</f>
        <v>0.95537825059101655</v>
      </c>
    </row>
    <row r="35" spans="1:10" x14ac:dyDescent="0.3">
      <c r="A35" s="72">
        <v>45772</v>
      </c>
      <c r="B35" s="33">
        <f>SUMIFS(Dados_Brutos!E:E,Dados_Brutos!A:A,"&gt;="&amp;DATE(2024,1,1),Dados_Brutos!A:A,"&lt;="&amp;DATE(2025,12,1))</f>
        <v>1766</v>
      </c>
      <c r="C35" s="33">
        <f>COUNTIFS(Dados_Brutos!A:A,"&gt;="&amp;DATE(2024,1,1),Dados_Brutos!A:A,"&lt;="&amp;DATE(2025,12,31),Dados_Brutos!H:H,"Fora de Operação")</f>
        <v>31</v>
      </c>
      <c r="D35" s="33">
        <f>COUNTIFS(Dados_Brutos!A:A,"&gt;="&amp;$A35,Dados_Brutos!A:A,"&lt;="&amp;EOMONTH($A35,0),Dados_Brutos!K:K,"*Baixo*")</f>
        <v>3</v>
      </c>
      <c r="E35" s="33">
        <f>COUNTIFS(Dados_Brutos!A:A,"&gt;="&amp;$A35,Dados_Brutos!A:A,"&lt;="&amp;EOMONTH($A35,0),Dados_Brutos!K:K,"*Médio*")</f>
        <v>0</v>
      </c>
      <c r="F35" s="33">
        <f>COUNTIFS(Dados_Brutos!A:A,"&gt;="&amp;$A35,Dados_Brutos!A:A,"&lt;="&amp;EOMONTH($A35,0),Dados_Brutos!K:K,"*Alto*")</f>
        <v>0</v>
      </c>
      <c r="G35" s="40">
        <f>B35*Config!$B$2</f>
        <v>2264356.0167999999</v>
      </c>
      <c r="H35" s="41">
        <f t="shared" si="0"/>
        <v>1.698754246885617E-2</v>
      </c>
      <c r="I35" s="35">
        <f>IFERROR(AVERAGEIFS(Dados_Brutos!J:J, Dados_Brutos!A:A, "&gt;="&amp;A35, Dados_Brutos!A:A, "&lt;="&amp;EOMONTH(A35,0)),"-")</f>
        <v>0</v>
      </c>
      <c r="J35" s="42">
        <f>(1-(SUMIFS(Dados_Brutos!J:J,Dados_Brutos!A:A,"&gt;="&amp;DATE(2024,1,1),Dados_Brutos!A:A,"&lt;="&amp;DATE(2025,12,31))/(47*24*30)))</f>
        <v>0.95537825059101655</v>
      </c>
    </row>
    <row r="36" spans="1:10" x14ac:dyDescent="0.3">
      <c r="A36" s="71"/>
    </row>
    <row r="37" spans="1:10" x14ac:dyDescent="0.3">
      <c r="A37" s="71"/>
    </row>
  </sheetData>
  <conditionalFormatting sqref="D2:D35">
    <cfRule type="expression" dxfId="150" priority="3">
      <formula>$D2&gt;0</formula>
    </cfRule>
  </conditionalFormatting>
  <conditionalFormatting sqref="E2:E35">
    <cfRule type="expression" dxfId="149" priority="2">
      <formula>$E2&gt;0</formula>
    </cfRule>
  </conditionalFormatting>
  <conditionalFormatting sqref="F2:F35">
    <cfRule type="expression" dxfId="148" priority="1">
      <formula>$F2&gt;0</formula>
    </cfRule>
  </conditionalFormatting>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58579-5586-4E32-B223-1E7DD688BA1A}">
  <dimension ref="A1:H121"/>
  <sheetViews>
    <sheetView showGridLines="0" zoomScale="70" zoomScaleNormal="70" workbookViewId="0">
      <pane ySplit="1" topLeftCell="A2" activePane="bottomLeft" state="frozen"/>
      <selection pane="bottomLeft" activeCell="F3" sqref="F3"/>
    </sheetView>
  </sheetViews>
  <sheetFormatPr defaultRowHeight="14.4" x14ac:dyDescent="0.3"/>
  <cols>
    <col min="1" max="1" width="15.109375" bestFit="1" customWidth="1"/>
    <col min="2" max="2" width="20.33203125" style="1" customWidth="1"/>
    <col min="3" max="3" width="21.5546875" style="1" customWidth="1"/>
    <col min="4" max="4" width="21" customWidth="1"/>
    <col min="5" max="5" width="23.109375" customWidth="1"/>
    <col min="6" max="6" width="25.6640625" style="1" customWidth="1"/>
    <col min="7" max="7" width="14.5546875" customWidth="1"/>
    <col min="8" max="8" width="14.77734375" customWidth="1"/>
  </cols>
  <sheetData>
    <row r="1" spans="1:8" ht="37.049999999999997" customHeight="1" x14ac:dyDescent="0.3">
      <c r="A1" s="23" t="s">
        <v>4</v>
      </c>
      <c r="B1" s="29" t="s">
        <v>53</v>
      </c>
      <c r="C1" s="29" t="s">
        <v>54</v>
      </c>
      <c r="D1" s="29" t="s">
        <v>55</v>
      </c>
      <c r="E1" s="29" t="s">
        <v>56</v>
      </c>
      <c r="F1" s="29" t="s">
        <v>57</v>
      </c>
      <c r="G1" s="29" t="s">
        <v>28</v>
      </c>
      <c r="H1" s="24" t="s">
        <v>58</v>
      </c>
    </row>
    <row r="2" spans="1:8" x14ac:dyDescent="0.3">
      <c r="A2" s="43">
        <v>1</v>
      </c>
      <c r="B2" s="33" t="e">
        <f>COUNTIF(Dados_Brutos!#REF!,A2)</f>
        <v>#REF!</v>
      </c>
      <c r="C2" s="33" t="e">
        <f>SUMIF(Dados_Brutos!#REF!,A2,Dados_Brutos!E:E)</f>
        <v>#REF!</v>
      </c>
      <c r="D2" s="44" t="e">
        <f>IF(Tabela5[[#This Row],[TURBINAS AFETADAS]]&gt;0, _xlfn.XLOOKUP(Tabela5[[#This Row],[CARREIRA]],Dados_Brutos!#REF!,Dados_Brutos!G:G,"Sem dados",0,-1),"Sem dados")</f>
        <v>#REF!</v>
      </c>
      <c r="E2" s="44" t="e">
        <f>IF(Tabela5[[#This Row],[TURBINAS AFETADAS]]&gt;0, _xlfn.XLOOKUP(Tabela5[[#This Row],[CARREIRA]],Dados_Brutos!#REF!,Dados_Brutos!C:C,"Sem dados",0,-1),"Sem dados")</f>
        <v>#REF!</v>
      </c>
      <c r="F2" s="33" t="e">
        <f>IF(AND(B2&gt;5,C2&gt;20),"🔴 ALTA",IF(AND(B2&gt;3,C2&gt;10),"🟡 MÉDIA","🟢 BAIXA"))</f>
        <v>#REF!</v>
      </c>
      <c r="G2" s="51" t="e">
        <f>C2*Config!$B$2</f>
        <v>#REF!</v>
      </c>
      <c r="H2" s="13" t="e">
        <f>IF(B2&gt;0,C2/B2,0)</f>
        <v>#REF!</v>
      </c>
    </row>
    <row r="3" spans="1:8" x14ac:dyDescent="0.3">
      <c r="A3" s="43">
        <v>2</v>
      </c>
      <c r="B3" s="33" t="e">
        <f>COUNTIF(Dados_Brutos!#REF!,A3)</f>
        <v>#REF!</v>
      </c>
      <c r="C3" s="33" t="e">
        <f>SUMIF(Dados_Brutos!#REF!,A3,Dados_Brutos!E:E)</f>
        <v>#REF!</v>
      </c>
      <c r="D3" s="44" t="e">
        <f>IF(Tabela5[[#This Row],[TURBINAS AFETADAS]]&gt;0, _xlfn.XLOOKUP(Tabela5[[#This Row],[CARREIRA]],Dados_Brutos!#REF!,Dados_Brutos!G:G,"Sem dados",0,-1),"Sem dados")</f>
        <v>#REF!</v>
      </c>
      <c r="E3" s="44" t="e">
        <f>IF(Tabela5[[#This Row],[TURBINAS AFETADAS]]&gt;0, _xlfn.XLOOKUP(Tabela5[[#This Row],[CARREIRA]],Dados_Brutos!#REF!,Dados_Brutos!C:C,"Sem dados",0,-1),"Sem dados")</f>
        <v>#REF!</v>
      </c>
      <c r="F3" s="33" t="e">
        <f>IF(AND(B3&gt;5,C3&gt;20),"🔴 ALTA",IF(AND(B3&gt;3,C3&gt;10),"🟡 MÉDIA","🟢 BAIXA"))</f>
        <v>#REF!</v>
      </c>
      <c r="G3" s="51" t="e">
        <f>C3*Config!$B$2</f>
        <v>#REF!</v>
      </c>
      <c r="H3" s="13" t="e">
        <f>IF(B3&gt;0,C3/B3,0)</f>
        <v>#REF!</v>
      </c>
    </row>
    <row r="4" spans="1:8" x14ac:dyDescent="0.3">
      <c r="A4" s="43">
        <v>3</v>
      </c>
      <c r="B4" s="33" t="e">
        <f>COUNTIF(Dados_Brutos!#REF!,A4)</f>
        <v>#REF!</v>
      </c>
      <c r="C4" s="33" t="e">
        <f>SUMIF(Dados_Brutos!#REF!,A4,Dados_Brutos!E:E)</f>
        <v>#REF!</v>
      </c>
      <c r="D4" s="44" t="e">
        <f>IF(Tabela5[[#This Row],[TURBINAS AFETADAS]]&gt;0, _xlfn.XLOOKUP(Tabela5[[#This Row],[CARREIRA]],Dados_Brutos!#REF!,Dados_Brutos!G:G,"Sem dados",0,-1),"Sem dados")</f>
        <v>#REF!</v>
      </c>
      <c r="E4" s="44" t="e">
        <f>IF(Tabela5[[#This Row],[TURBINAS AFETADAS]]&gt;0, _xlfn.XLOOKUP(Tabela5[[#This Row],[CARREIRA]],Dados_Brutos!#REF!,Dados_Brutos!C:C,"Sem dados",0,-1),"Sem dados")</f>
        <v>#REF!</v>
      </c>
      <c r="F4" s="33" t="e">
        <f>IF(AND(B4&gt;5,C4&gt;20),"🔴 ALTA",IF(AND(B4&gt;3,C4&gt;10),"🟡 MÉDIA","🟢 BAIXA"))</f>
        <v>#REF!</v>
      </c>
      <c r="G4" s="51" t="e">
        <f>C4*Config!$B$2</f>
        <v>#REF!</v>
      </c>
      <c r="H4" s="13" t="e">
        <f>IF(B4&gt;0,C4/B4,0)</f>
        <v>#REF!</v>
      </c>
    </row>
    <row r="5" spans="1:8" x14ac:dyDescent="0.3">
      <c r="A5" s="43">
        <v>4</v>
      </c>
      <c r="B5" s="15" t="e">
        <f>COUNTIF(Dados_Brutos!#REF!,A5)</f>
        <v>#REF!</v>
      </c>
      <c r="C5" s="15" t="e">
        <f>SUMIF(Dados_Brutos!#REF!,A5,Dados_Brutos!E:E)</f>
        <v>#REF!</v>
      </c>
      <c r="D5" s="7" t="e">
        <f>IF(Tabela5[[#This Row],[TURBINAS AFETADAS]]&gt;0, _xlfn.XLOOKUP(Tabela5[[#This Row],[CARREIRA]],Dados_Brutos!#REF!,Dados_Brutos!G:G,"Sem dados",0,-1),"Sem dados")</f>
        <v>#REF!</v>
      </c>
      <c r="E5" s="7" t="e">
        <f>IF(Tabela5[[#This Row],[TURBINAS AFETADAS]]&gt;0, _xlfn.XLOOKUP(Tabela5[[#This Row],[CARREIRA]],Dados_Brutos!#REF!,Dados_Brutos!C:C,"Sem dados",0,-1),"Sem dados")</f>
        <v>#REF!</v>
      </c>
      <c r="F5" s="15" t="e">
        <f t="shared" ref="F5:F36" si="0">IF(AND(B5&gt;5,C5&gt;20),"🔴 ALTA",IF(AND(B5&gt;3,C5&gt;10),"🟡 MÉDIA","🟢 BAIXA"))</f>
        <v>#REF!</v>
      </c>
      <c r="G5" s="52" t="e">
        <f>C5*Config!$B$2</f>
        <v>#REF!</v>
      </c>
      <c r="H5" s="45" t="e">
        <f t="shared" ref="H5:H36" si="1">IF(B5&gt;0,C5/B5,0)</f>
        <v>#REF!</v>
      </c>
    </row>
    <row r="6" spans="1:8" x14ac:dyDescent="0.3">
      <c r="A6" s="43">
        <v>5</v>
      </c>
      <c r="B6" s="15" t="e">
        <f>COUNTIF(Dados_Brutos!#REF!,A6)</f>
        <v>#REF!</v>
      </c>
      <c r="C6" s="15" t="e">
        <f>SUMIF(Dados_Brutos!#REF!,A6,Dados_Brutos!E:E)</f>
        <v>#REF!</v>
      </c>
      <c r="D6" s="7" t="e">
        <f>IF(Tabela5[[#This Row],[TURBINAS AFETADAS]]&gt;0, _xlfn.XLOOKUP(Tabela5[[#This Row],[CARREIRA]],Dados_Brutos!#REF!,Dados_Brutos!G:G,"Sem dados",0,-1),"Sem dados")</f>
        <v>#REF!</v>
      </c>
      <c r="E6" s="7" t="e">
        <f>IF(Tabela5[[#This Row],[TURBINAS AFETADAS]]&gt;0, _xlfn.XLOOKUP(Tabela5[[#This Row],[CARREIRA]],Dados_Brutos!#REF!,Dados_Brutos!C:C,"Sem dados",0,-1),"Sem dados")</f>
        <v>#REF!</v>
      </c>
      <c r="F6" s="15" t="e">
        <f t="shared" si="0"/>
        <v>#REF!</v>
      </c>
      <c r="G6" s="52" t="e">
        <f>C6*Config!$B$2</f>
        <v>#REF!</v>
      </c>
      <c r="H6" s="45" t="e">
        <f t="shared" si="1"/>
        <v>#REF!</v>
      </c>
    </row>
    <row r="7" spans="1:8" x14ac:dyDescent="0.3">
      <c r="A7" s="43">
        <v>6</v>
      </c>
      <c r="B7" s="15" t="e">
        <f>COUNTIF(Dados_Brutos!#REF!,A7)</f>
        <v>#REF!</v>
      </c>
      <c r="C7" s="15" t="e">
        <f>SUMIF(Dados_Brutos!#REF!,A7,Dados_Brutos!E:E)</f>
        <v>#REF!</v>
      </c>
      <c r="D7" s="7" t="e">
        <f>IF(Tabela5[[#This Row],[TURBINAS AFETADAS]]&gt;0, _xlfn.XLOOKUP(Tabela5[[#This Row],[CARREIRA]],Dados_Brutos!#REF!,Dados_Brutos!G:G,"Sem dados",0,-1),"Sem dados")</f>
        <v>#REF!</v>
      </c>
      <c r="E7" s="7" t="e">
        <f>IF(Tabela5[[#This Row],[TURBINAS AFETADAS]]&gt;0, _xlfn.XLOOKUP(Tabela5[[#This Row],[CARREIRA]],Dados_Brutos!#REF!,Dados_Brutos!C:C,"Sem dados",0,-1),"Sem dados")</f>
        <v>#REF!</v>
      </c>
      <c r="F7" s="15" t="e">
        <f t="shared" si="0"/>
        <v>#REF!</v>
      </c>
      <c r="G7" s="52" t="e">
        <f>C7*Config!$B$2</f>
        <v>#REF!</v>
      </c>
      <c r="H7" s="45" t="e">
        <f t="shared" si="1"/>
        <v>#REF!</v>
      </c>
    </row>
    <row r="8" spans="1:8" x14ac:dyDescent="0.3">
      <c r="A8" s="43">
        <v>7</v>
      </c>
      <c r="B8" s="15" t="e">
        <f>COUNTIF(Dados_Brutos!#REF!,A8)</f>
        <v>#REF!</v>
      </c>
      <c r="C8" s="15" t="e">
        <f>SUMIF(Dados_Brutos!#REF!,A8,Dados_Brutos!E:E)</f>
        <v>#REF!</v>
      </c>
      <c r="D8" s="7" t="e">
        <f>IF(Tabela5[[#This Row],[TURBINAS AFETADAS]]&gt;0, _xlfn.XLOOKUP(Tabela5[[#This Row],[CARREIRA]],Dados_Brutos!#REF!,Dados_Brutos!G:G,"Sem dados",0,-1),"Sem dados")</f>
        <v>#REF!</v>
      </c>
      <c r="E8" s="7" t="e">
        <f>IF(Tabela5[[#This Row],[TURBINAS AFETADAS]]&gt;0, _xlfn.XLOOKUP(Tabela5[[#This Row],[CARREIRA]],Dados_Brutos!#REF!,Dados_Brutos!C:C,"Sem dados",0,-1),"Sem dados")</f>
        <v>#REF!</v>
      </c>
      <c r="F8" s="15" t="e">
        <f t="shared" si="0"/>
        <v>#REF!</v>
      </c>
      <c r="G8" s="52" t="e">
        <f>C8*Config!$B$2</f>
        <v>#REF!</v>
      </c>
      <c r="H8" s="45" t="e">
        <f t="shared" si="1"/>
        <v>#REF!</v>
      </c>
    </row>
    <row r="9" spans="1:8" x14ac:dyDescent="0.3">
      <c r="A9" s="43">
        <v>8</v>
      </c>
      <c r="B9" s="15" t="e">
        <f>COUNTIF(Dados_Brutos!#REF!,A9)</f>
        <v>#REF!</v>
      </c>
      <c r="C9" s="15" t="e">
        <f>SUMIF(Dados_Brutos!#REF!,A9,Dados_Brutos!E:E)</f>
        <v>#REF!</v>
      </c>
      <c r="D9" s="7" t="e">
        <f>IF(Tabela5[[#This Row],[TURBINAS AFETADAS]]&gt;0, _xlfn.XLOOKUP(Tabela5[[#This Row],[CARREIRA]],Dados_Brutos!#REF!,Dados_Brutos!G:G,"Sem dados",0,-1),"Sem dados")</f>
        <v>#REF!</v>
      </c>
      <c r="E9" s="7" t="e">
        <f>IF(Tabela5[[#This Row],[TURBINAS AFETADAS]]&gt;0, _xlfn.XLOOKUP(Tabela5[[#This Row],[CARREIRA]],Dados_Brutos!#REF!,Dados_Brutos!C:C,"Sem dados",0,-1),"Sem dados")</f>
        <v>#REF!</v>
      </c>
      <c r="F9" s="15" t="e">
        <f t="shared" si="0"/>
        <v>#REF!</v>
      </c>
      <c r="G9" s="52" t="e">
        <f>C9*Config!$B$2</f>
        <v>#REF!</v>
      </c>
      <c r="H9" s="45" t="e">
        <f t="shared" si="1"/>
        <v>#REF!</v>
      </c>
    </row>
    <row r="10" spans="1:8" x14ac:dyDescent="0.3">
      <c r="A10" s="43">
        <v>9</v>
      </c>
      <c r="B10" s="15" t="e">
        <f>COUNTIF(Dados_Brutos!#REF!,A10)</f>
        <v>#REF!</v>
      </c>
      <c r="C10" s="15" t="e">
        <f>SUMIF(Dados_Brutos!#REF!,A10,Dados_Brutos!E:E)</f>
        <v>#REF!</v>
      </c>
      <c r="D10" s="7" t="e">
        <f>IF(Tabela5[[#This Row],[TURBINAS AFETADAS]]&gt;0, _xlfn.XLOOKUP(Tabela5[[#This Row],[CARREIRA]],Dados_Brutos!#REF!,Dados_Brutos!G:G,"Sem dados",0,-1),"Sem dados")</f>
        <v>#REF!</v>
      </c>
      <c r="E10" s="7" t="e">
        <f>IF(Tabela5[[#This Row],[TURBINAS AFETADAS]]&gt;0, _xlfn.XLOOKUP(Tabela5[[#This Row],[CARREIRA]],Dados_Brutos!#REF!,Dados_Brutos!C:C,"Sem dados",0,-1),"Sem dados")</f>
        <v>#REF!</v>
      </c>
      <c r="F10" s="15" t="e">
        <f t="shared" si="0"/>
        <v>#REF!</v>
      </c>
      <c r="G10" s="52" t="e">
        <f>C10*Config!$B$2</f>
        <v>#REF!</v>
      </c>
      <c r="H10" s="45" t="e">
        <f t="shared" si="1"/>
        <v>#REF!</v>
      </c>
    </row>
    <row r="11" spans="1:8" x14ac:dyDescent="0.3">
      <c r="A11" s="43">
        <v>10</v>
      </c>
      <c r="B11" s="15" t="e">
        <f>COUNTIF(Dados_Brutos!#REF!,A11)</f>
        <v>#REF!</v>
      </c>
      <c r="C11" s="15" t="e">
        <f>SUMIF(Dados_Brutos!#REF!,A11,Dados_Brutos!E:E)</f>
        <v>#REF!</v>
      </c>
      <c r="D11" s="7" t="e">
        <f>IF(Tabela5[[#This Row],[TURBINAS AFETADAS]]&gt;0, _xlfn.XLOOKUP(Tabela5[[#This Row],[CARREIRA]],Dados_Brutos!#REF!,Dados_Brutos!G:G,"Sem dados",0,-1),"Sem dados")</f>
        <v>#REF!</v>
      </c>
      <c r="E11" s="7" t="e">
        <f>IF(Tabela5[[#This Row],[TURBINAS AFETADAS]]&gt;0, _xlfn.XLOOKUP(Tabela5[[#This Row],[CARREIRA]],Dados_Brutos!#REF!,Dados_Brutos!C:C,"Sem dados",0,-1),"Sem dados")</f>
        <v>#REF!</v>
      </c>
      <c r="F11" s="15" t="e">
        <f t="shared" si="0"/>
        <v>#REF!</v>
      </c>
      <c r="G11" s="52" t="e">
        <f>C11*Config!$B$2</f>
        <v>#REF!</v>
      </c>
      <c r="H11" s="45" t="e">
        <f t="shared" si="1"/>
        <v>#REF!</v>
      </c>
    </row>
    <row r="12" spans="1:8" x14ac:dyDescent="0.3">
      <c r="A12" s="43">
        <v>11</v>
      </c>
      <c r="B12" s="15" t="e">
        <f>COUNTIF(Dados_Brutos!#REF!,A12)</f>
        <v>#REF!</v>
      </c>
      <c r="C12" s="15" t="e">
        <f>SUMIF(Dados_Brutos!#REF!,A12,Dados_Brutos!E:E)</f>
        <v>#REF!</v>
      </c>
      <c r="D12" s="7" t="e">
        <f>IF(Tabela5[[#This Row],[TURBINAS AFETADAS]]&gt;0, _xlfn.XLOOKUP(Tabela5[[#This Row],[CARREIRA]],Dados_Brutos!#REF!,Dados_Brutos!G:G,"Sem dados",0,-1),"Sem dados")</f>
        <v>#REF!</v>
      </c>
      <c r="E12" s="7" t="e">
        <f>IF(Tabela5[[#This Row],[TURBINAS AFETADAS]]&gt;0, _xlfn.XLOOKUP(Tabela5[[#This Row],[CARREIRA]],Dados_Brutos!#REF!,Dados_Brutos!C:C,"Sem dados",0,-1),"Sem dados")</f>
        <v>#REF!</v>
      </c>
      <c r="F12" s="15" t="e">
        <f t="shared" si="0"/>
        <v>#REF!</v>
      </c>
      <c r="G12" s="52" t="e">
        <f>C12*Config!$B$2</f>
        <v>#REF!</v>
      </c>
      <c r="H12" s="45" t="e">
        <f t="shared" si="1"/>
        <v>#REF!</v>
      </c>
    </row>
    <row r="13" spans="1:8" x14ac:dyDescent="0.3">
      <c r="A13" s="43">
        <v>12</v>
      </c>
      <c r="B13" s="15" t="e">
        <f>COUNTIF(Dados_Brutos!#REF!,A13)</f>
        <v>#REF!</v>
      </c>
      <c r="C13" s="15" t="e">
        <f>SUMIF(Dados_Brutos!#REF!,A13,Dados_Brutos!E:E)</f>
        <v>#REF!</v>
      </c>
      <c r="D13" s="7" t="e">
        <f>IF(Tabela5[[#This Row],[TURBINAS AFETADAS]]&gt;0, _xlfn.XLOOKUP(Tabela5[[#This Row],[CARREIRA]],Dados_Brutos!#REF!,Dados_Brutos!G:G,"Sem dados",0,-1),"Sem dados")</f>
        <v>#REF!</v>
      </c>
      <c r="E13" s="7" t="e">
        <f>IF(Tabela5[[#This Row],[TURBINAS AFETADAS]]&gt;0, _xlfn.XLOOKUP(Tabela5[[#This Row],[CARREIRA]],Dados_Brutos!#REF!,Dados_Brutos!C:C,"Sem dados",0,-1),"Sem dados")</f>
        <v>#REF!</v>
      </c>
      <c r="F13" s="15" t="e">
        <f t="shared" si="0"/>
        <v>#REF!</v>
      </c>
      <c r="G13" s="52" t="e">
        <f>C13*Config!$B$2</f>
        <v>#REF!</v>
      </c>
      <c r="H13" s="45" t="e">
        <f t="shared" si="1"/>
        <v>#REF!</v>
      </c>
    </row>
    <row r="14" spans="1:8" x14ac:dyDescent="0.3">
      <c r="A14" s="43">
        <v>13</v>
      </c>
      <c r="B14" s="15" t="e">
        <f>COUNTIF(Dados_Brutos!#REF!,A14)</f>
        <v>#REF!</v>
      </c>
      <c r="C14" s="15" t="e">
        <f>SUMIF(Dados_Brutos!#REF!,A14,Dados_Brutos!E:E)</f>
        <v>#REF!</v>
      </c>
      <c r="D14" s="7" t="e">
        <f>IF(Tabela5[[#This Row],[TURBINAS AFETADAS]]&gt;0, _xlfn.XLOOKUP(Tabela5[[#This Row],[CARREIRA]],Dados_Brutos!#REF!,Dados_Brutos!G:G,"Sem dados",0,-1),"Sem dados")</f>
        <v>#REF!</v>
      </c>
      <c r="E14" s="7" t="e">
        <f>IF(Tabela5[[#This Row],[TURBINAS AFETADAS]]&gt;0, _xlfn.XLOOKUP(Tabela5[[#This Row],[CARREIRA]],Dados_Brutos!#REF!,Dados_Brutos!C:C,"Sem dados",0,-1),"Sem dados")</f>
        <v>#REF!</v>
      </c>
      <c r="F14" s="15" t="e">
        <f t="shared" si="0"/>
        <v>#REF!</v>
      </c>
      <c r="G14" s="52" t="e">
        <f>C14*Config!$B$2</f>
        <v>#REF!</v>
      </c>
      <c r="H14" s="45" t="e">
        <f t="shared" si="1"/>
        <v>#REF!</v>
      </c>
    </row>
    <row r="15" spans="1:8" x14ac:dyDescent="0.3">
      <c r="A15" s="43">
        <v>14</v>
      </c>
      <c r="B15" s="15" t="e">
        <f>COUNTIF(Dados_Brutos!#REF!,A15)</f>
        <v>#REF!</v>
      </c>
      <c r="C15" s="15" t="e">
        <f>SUMIF(Dados_Brutos!#REF!,A15,Dados_Brutos!E:E)</f>
        <v>#REF!</v>
      </c>
      <c r="D15" s="7" t="e">
        <f>IF(Tabela5[[#This Row],[TURBINAS AFETADAS]]&gt;0, _xlfn.XLOOKUP(Tabela5[[#This Row],[CARREIRA]],Dados_Brutos!#REF!,Dados_Brutos!G:G,"Sem dados",0,-1),"Sem dados")</f>
        <v>#REF!</v>
      </c>
      <c r="E15" s="7" t="e">
        <f>IF(Tabela5[[#This Row],[TURBINAS AFETADAS]]&gt;0, _xlfn.XLOOKUP(Tabela5[[#This Row],[CARREIRA]],Dados_Brutos!#REF!,Dados_Brutos!C:C,"Sem dados",0,-1),"Sem dados")</f>
        <v>#REF!</v>
      </c>
      <c r="F15" s="15" t="e">
        <f t="shared" si="0"/>
        <v>#REF!</v>
      </c>
      <c r="G15" s="52" t="e">
        <f>C15*Config!$B$2</f>
        <v>#REF!</v>
      </c>
      <c r="H15" s="45" t="e">
        <f t="shared" si="1"/>
        <v>#REF!</v>
      </c>
    </row>
    <row r="16" spans="1:8" x14ac:dyDescent="0.3">
      <c r="A16" s="43">
        <v>15</v>
      </c>
      <c r="B16" s="15" t="e">
        <f>COUNTIF(Dados_Brutos!#REF!,A16)</f>
        <v>#REF!</v>
      </c>
      <c r="C16" s="15" t="e">
        <f>SUMIF(Dados_Brutos!#REF!,A16,Dados_Brutos!E:E)</f>
        <v>#REF!</v>
      </c>
      <c r="D16" s="7" t="e">
        <f>IF(Tabela5[[#This Row],[TURBINAS AFETADAS]]&gt;0, _xlfn.XLOOKUP(Tabela5[[#This Row],[CARREIRA]],Dados_Brutos!#REF!,Dados_Brutos!G:G,"Sem dados",0,-1),"Sem dados")</f>
        <v>#REF!</v>
      </c>
      <c r="E16" s="7" t="e">
        <f>IF(Tabela5[[#This Row],[TURBINAS AFETADAS]]&gt;0, _xlfn.XLOOKUP(Tabela5[[#This Row],[CARREIRA]],Dados_Brutos!#REF!,Dados_Brutos!C:C,"Sem dados",0,-1),"Sem dados")</f>
        <v>#REF!</v>
      </c>
      <c r="F16" s="15" t="e">
        <f t="shared" si="0"/>
        <v>#REF!</v>
      </c>
      <c r="G16" s="52" t="e">
        <f>C16*Config!$B$2</f>
        <v>#REF!</v>
      </c>
      <c r="H16" s="45" t="e">
        <f t="shared" si="1"/>
        <v>#REF!</v>
      </c>
    </row>
    <row r="17" spans="1:8" x14ac:dyDescent="0.3">
      <c r="A17" s="43">
        <v>16</v>
      </c>
      <c r="B17" s="15" t="e">
        <f>COUNTIF(Dados_Brutos!#REF!,A17)</f>
        <v>#REF!</v>
      </c>
      <c r="C17" s="15" t="e">
        <f>SUMIF(Dados_Brutos!#REF!,A17,Dados_Brutos!E:E)</f>
        <v>#REF!</v>
      </c>
      <c r="D17" s="7" t="e">
        <f>IF(Tabela5[[#This Row],[TURBINAS AFETADAS]]&gt;0, _xlfn.XLOOKUP(Tabela5[[#This Row],[CARREIRA]],Dados_Brutos!#REF!,Dados_Brutos!G:G,"Sem dados",0,-1),"Sem dados")</f>
        <v>#REF!</v>
      </c>
      <c r="E17" s="7" t="e">
        <f>IF(Tabela5[[#This Row],[TURBINAS AFETADAS]]&gt;0, _xlfn.XLOOKUP(Tabela5[[#This Row],[CARREIRA]],Dados_Brutos!#REF!,Dados_Brutos!C:C,"Sem dados",0,-1),"Sem dados")</f>
        <v>#REF!</v>
      </c>
      <c r="F17" s="15" t="e">
        <f t="shared" si="0"/>
        <v>#REF!</v>
      </c>
      <c r="G17" s="52" t="e">
        <f>C17*Config!$B$2</f>
        <v>#REF!</v>
      </c>
      <c r="H17" s="45" t="e">
        <f t="shared" si="1"/>
        <v>#REF!</v>
      </c>
    </row>
    <row r="18" spans="1:8" x14ac:dyDescent="0.3">
      <c r="A18" s="43">
        <v>17</v>
      </c>
      <c r="B18" s="15" t="e">
        <f>COUNTIF(Dados_Brutos!#REF!,A18)</f>
        <v>#REF!</v>
      </c>
      <c r="C18" s="15" t="e">
        <f>SUMIF(Dados_Brutos!#REF!,A18,Dados_Brutos!E:E)</f>
        <v>#REF!</v>
      </c>
      <c r="D18" s="7" t="e">
        <f>IF(Tabela5[[#This Row],[TURBINAS AFETADAS]]&gt;0, _xlfn.XLOOKUP(Tabela5[[#This Row],[CARREIRA]],Dados_Brutos!#REF!,Dados_Brutos!G:G,"Sem dados",0,-1),"Sem dados")</f>
        <v>#REF!</v>
      </c>
      <c r="E18" s="7" t="e">
        <f>IF(Tabela5[[#This Row],[TURBINAS AFETADAS]]&gt;0, _xlfn.XLOOKUP(Tabela5[[#This Row],[CARREIRA]],Dados_Brutos!#REF!,Dados_Brutos!C:C,"Sem dados",0,-1),"Sem dados")</f>
        <v>#REF!</v>
      </c>
      <c r="F18" s="15" t="e">
        <f t="shared" si="0"/>
        <v>#REF!</v>
      </c>
      <c r="G18" s="52" t="e">
        <f>C18*Config!$B$2</f>
        <v>#REF!</v>
      </c>
      <c r="H18" s="45" t="e">
        <f t="shared" si="1"/>
        <v>#REF!</v>
      </c>
    </row>
    <row r="19" spans="1:8" x14ac:dyDescent="0.3">
      <c r="A19" s="43">
        <v>18</v>
      </c>
      <c r="B19" s="15" t="e">
        <f>COUNTIF(Dados_Brutos!#REF!,A19)</f>
        <v>#REF!</v>
      </c>
      <c r="C19" s="15" t="e">
        <f>SUMIF(Dados_Brutos!#REF!,A19,Dados_Brutos!E:E)</f>
        <v>#REF!</v>
      </c>
      <c r="D19" s="7" t="e">
        <f>IF(Tabela5[[#This Row],[TURBINAS AFETADAS]]&gt;0, _xlfn.XLOOKUP(Tabela5[[#This Row],[CARREIRA]],Dados_Brutos!#REF!,Dados_Brutos!G:G,"Sem dados",0,-1),"Sem dados")</f>
        <v>#REF!</v>
      </c>
      <c r="E19" s="7" t="e">
        <f>IF(Tabela5[[#This Row],[TURBINAS AFETADAS]]&gt;0, _xlfn.XLOOKUP(Tabela5[[#This Row],[CARREIRA]],Dados_Brutos!#REF!,Dados_Brutos!C:C,"Sem dados",0,-1),"Sem dados")</f>
        <v>#REF!</v>
      </c>
      <c r="F19" s="15" t="e">
        <f t="shared" si="0"/>
        <v>#REF!</v>
      </c>
      <c r="G19" s="52" t="e">
        <f>C19*Config!$B$2</f>
        <v>#REF!</v>
      </c>
      <c r="H19" s="45" t="e">
        <f t="shared" si="1"/>
        <v>#REF!</v>
      </c>
    </row>
    <row r="20" spans="1:8" x14ac:dyDescent="0.3">
      <c r="A20" s="43">
        <v>19</v>
      </c>
      <c r="B20" s="15" t="e">
        <f>COUNTIF(Dados_Brutos!#REF!,A20)</f>
        <v>#REF!</v>
      </c>
      <c r="C20" s="15" t="e">
        <f>SUMIF(Dados_Brutos!#REF!,A20,Dados_Brutos!E:E)</f>
        <v>#REF!</v>
      </c>
      <c r="D20" s="7" t="e">
        <f>IF(Tabela5[[#This Row],[TURBINAS AFETADAS]]&gt;0, _xlfn.XLOOKUP(Tabela5[[#This Row],[CARREIRA]],Dados_Brutos!#REF!,Dados_Brutos!G:G,"Sem dados",0,-1),"Sem dados")</f>
        <v>#REF!</v>
      </c>
      <c r="E20" s="7" t="e">
        <f>IF(Tabela5[[#This Row],[TURBINAS AFETADAS]]&gt;0, _xlfn.XLOOKUP(Tabela5[[#This Row],[CARREIRA]],Dados_Brutos!#REF!,Dados_Brutos!C:C,"Sem dados",0,-1),"Sem dados")</f>
        <v>#REF!</v>
      </c>
      <c r="F20" s="15" t="e">
        <f t="shared" si="0"/>
        <v>#REF!</v>
      </c>
      <c r="G20" s="52" t="e">
        <f>C20*Config!$B$2</f>
        <v>#REF!</v>
      </c>
      <c r="H20" s="45" t="e">
        <f t="shared" si="1"/>
        <v>#REF!</v>
      </c>
    </row>
    <row r="21" spans="1:8" x14ac:dyDescent="0.3">
      <c r="A21" s="43">
        <v>20</v>
      </c>
      <c r="B21" s="15" t="e">
        <f>COUNTIF(Dados_Brutos!#REF!,A21)</f>
        <v>#REF!</v>
      </c>
      <c r="C21" s="15" t="e">
        <f>SUMIF(Dados_Brutos!#REF!,A21,Dados_Brutos!E:E)</f>
        <v>#REF!</v>
      </c>
      <c r="D21" s="7" t="e">
        <f>IF(Tabela5[[#This Row],[TURBINAS AFETADAS]]&gt;0, _xlfn.XLOOKUP(Tabela5[[#This Row],[CARREIRA]],Dados_Brutos!#REF!,Dados_Brutos!G:G,"Sem dados",0,-1),"Sem dados")</f>
        <v>#REF!</v>
      </c>
      <c r="E21" s="7" t="e">
        <f>IF(Tabela5[[#This Row],[TURBINAS AFETADAS]]&gt;0, _xlfn.XLOOKUP(Tabela5[[#This Row],[CARREIRA]],Dados_Brutos!#REF!,Dados_Brutos!C:C,"Sem dados",0,-1),"Sem dados")</f>
        <v>#REF!</v>
      </c>
      <c r="F21" s="15" t="e">
        <f t="shared" si="0"/>
        <v>#REF!</v>
      </c>
      <c r="G21" s="52" t="e">
        <f>C21*Config!$B$2</f>
        <v>#REF!</v>
      </c>
      <c r="H21" s="45" t="e">
        <f t="shared" si="1"/>
        <v>#REF!</v>
      </c>
    </row>
    <row r="22" spans="1:8" x14ac:dyDescent="0.3">
      <c r="A22" s="43">
        <v>21</v>
      </c>
      <c r="B22" s="15" t="e">
        <f>COUNTIF(Dados_Brutos!#REF!,A22)</f>
        <v>#REF!</v>
      </c>
      <c r="C22" s="15" t="e">
        <f>SUMIF(Dados_Brutos!#REF!,A22,Dados_Brutos!E:E)</f>
        <v>#REF!</v>
      </c>
      <c r="D22" s="7" t="e">
        <f>IF(Tabela5[[#This Row],[TURBINAS AFETADAS]]&gt;0, _xlfn.XLOOKUP(Tabela5[[#This Row],[CARREIRA]],Dados_Brutos!#REF!,Dados_Brutos!G:G,"Sem dados",0,-1),"Sem dados")</f>
        <v>#REF!</v>
      </c>
      <c r="E22" s="7" t="e">
        <f>IF(Tabela5[[#This Row],[TURBINAS AFETADAS]]&gt;0, _xlfn.XLOOKUP(Tabela5[[#This Row],[CARREIRA]],Dados_Brutos!#REF!,Dados_Brutos!C:C,"Sem dados",0,-1),"Sem dados")</f>
        <v>#REF!</v>
      </c>
      <c r="F22" s="15" t="e">
        <f t="shared" si="0"/>
        <v>#REF!</v>
      </c>
      <c r="G22" s="52" t="e">
        <f>C22*Config!$B$2</f>
        <v>#REF!</v>
      </c>
      <c r="H22" s="45" t="e">
        <f t="shared" si="1"/>
        <v>#REF!</v>
      </c>
    </row>
    <row r="23" spans="1:8" x14ac:dyDescent="0.3">
      <c r="A23" s="43">
        <v>22</v>
      </c>
      <c r="B23" s="15" t="e">
        <f>COUNTIF(Dados_Brutos!#REF!,A23)</f>
        <v>#REF!</v>
      </c>
      <c r="C23" s="15" t="e">
        <f>SUMIF(Dados_Brutos!#REF!,A23,Dados_Brutos!E:E)</f>
        <v>#REF!</v>
      </c>
      <c r="D23" s="7" t="e">
        <f>IF(Tabela5[[#This Row],[TURBINAS AFETADAS]]&gt;0, _xlfn.XLOOKUP(Tabela5[[#This Row],[CARREIRA]],Dados_Brutos!#REF!,Dados_Brutos!G:G,"Sem dados",0,-1),"Sem dados")</f>
        <v>#REF!</v>
      </c>
      <c r="E23" s="7" t="e">
        <f>IF(Tabela5[[#This Row],[TURBINAS AFETADAS]]&gt;0, _xlfn.XLOOKUP(Tabela5[[#This Row],[CARREIRA]],Dados_Brutos!#REF!,Dados_Brutos!C:C,"Sem dados",0,-1),"Sem dados")</f>
        <v>#REF!</v>
      </c>
      <c r="F23" s="15" t="e">
        <f t="shared" si="0"/>
        <v>#REF!</v>
      </c>
      <c r="G23" s="52" t="e">
        <f>C23*Config!$B$2</f>
        <v>#REF!</v>
      </c>
      <c r="H23" s="45" t="e">
        <f t="shared" si="1"/>
        <v>#REF!</v>
      </c>
    </row>
    <row r="24" spans="1:8" x14ac:dyDescent="0.3">
      <c r="A24" s="43">
        <v>23</v>
      </c>
      <c r="B24" s="15" t="e">
        <f>COUNTIF(Dados_Brutos!#REF!,A24)</f>
        <v>#REF!</v>
      </c>
      <c r="C24" s="15" t="e">
        <f>SUMIF(Dados_Brutos!#REF!,A24,Dados_Brutos!E:E)</f>
        <v>#REF!</v>
      </c>
      <c r="D24" s="7" t="e">
        <f>IF(Tabela5[[#This Row],[TURBINAS AFETADAS]]&gt;0, _xlfn.XLOOKUP(Tabela5[[#This Row],[CARREIRA]],Dados_Brutos!#REF!,Dados_Brutos!G:G,"Sem dados",0,-1),"Sem dados")</f>
        <v>#REF!</v>
      </c>
      <c r="E24" s="7" t="e">
        <f>IF(Tabela5[[#This Row],[TURBINAS AFETADAS]]&gt;0, _xlfn.XLOOKUP(Tabela5[[#This Row],[CARREIRA]],Dados_Brutos!#REF!,Dados_Brutos!C:C,"Sem dados",0,-1),"Sem dados")</f>
        <v>#REF!</v>
      </c>
      <c r="F24" s="15" t="e">
        <f t="shared" si="0"/>
        <v>#REF!</v>
      </c>
      <c r="G24" s="52" t="e">
        <f>C24*Config!$B$2</f>
        <v>#REF!</v>
      </c>
      <c r="H24" s="45" t="e">
        <f t="shared" si="1"/>
        <v>#REF!</v>
      </c>
    </row>
    <row r="25" spans="1:8" x14ac:dyDescent="0.3">
      <c r="A25" s="43">
        <v>24</v>
      </c>
      <c r="B25" s="15" t="e">
        <f>COUNTIF(Dados_Brutos!#REF!,A25)</f>
        <v>#REF!</v>
      </c>
      <c r="C25" s="15" t="e">
        <f>SUMIF(Dados_Brutos!#REF!,A25,Dados_Brutos!E:E)</f>
        <v>#REF!</v>
      </c>
      <c r="D25" s="7" t="e">
        <f>IF(Tabela5[[#This Row],[TURBINAS AFETADAS]]&gt;0, _xlfn.XLOOKUP(Tabela5[[#This Row],[CARREIRA]],Dados_Brutos!#REF!,Dados_Brutos!G:G,"Sem dados",0,-1),"Sem dados")</f>
        <v>#REF!</v>
      </c>
      <c r="E25" s="7" t="e">
        <f>IF(Tabela5[[#This Row],[TURBINAS AFETADAS]]&gt;0, _xlfn.XLOOKUP(Tabela5[[#This Row],[CARREIRA]],Dados_Brutos!#REF!,Dados_Brutos!C:C,"Sem dados",0,-1),"Sem dados")</f>
        <v>#REF!</v>
      </c>
      <c r="F25" s="15" t="e">
        <f t="shared" si="0"/>
        <v>#REF!</v>
      </c>
      <c r="G25" s="52" t="e">
        <f>C25*Config!$B$2</f>
        <v>#REF!</v>
      </c>
      <c r="H25" s="45" t="e">
        <f t="shared" si="1"/>
        <v>#REF!</v>
      </c>
    </row>
    <row r="26" spans="1:8" x14ac:dyDescent="0.3">
      <c r="A26" s="43">
        <v>25</v>
      </c>
      <c r="B26" s="15" t="e">
        <f>COUNTIF(Dados_Brutos!#REF!,A26)</f>
        <v>#REF!</v>
      </c>
      <c r="C26" s="15" t="e">
        <f>SUMIF(Dados_Brutos!#REF!,A26,Dados_Brutos!E:E)</f>
        <v>#REF!</v>
      </c>
      <c r="D26" s="7" t="e">
        <f>IF(Tabela5[[#This Row],[TURBINAS AFETADAS]]&gt;0, _xlfn.XLOOKUP(Tabela5[[#This Row],[CARREIRA]],Dados_Brutos!#REF!,Dados_Brutos!G:G,"Sem dados",0,-1),"Sem dados")</f>
        <v>#REF!</v>
      </c>
      <c r="E26" s="7" t="e">
        <f>IF(Tabela5[[#This Row],[TURBINAS AFETADAS]]&gt;0, _xlfn.XLOOKUP(Tabela5[[#This Row],[CARREIRA]],Dados_Brutos!#REF!,Dados_Brutos!C:C,"Sem dados",0,-1),"Sem dados")</f>
        <v>#REF!</v>
      </c>
      <c r="F26" s="15" t="e">
        <f t="shared" si="0"/>
        <v>#REF!</v>
      </c>
      <c r="G26" s="52" t="e">
        <f>C26*Config!$B$2</f>
        <v>#REF!</v>
      </c>
      <c r="H26" s="45" t="e">
        <f t="shared" si="1"/>
        <v>#REF!</v>
      </c>
    </row>
    <row r="27" spans="1:8" x14ac:dyDescent="0.3">
      <c r="A27" s="43">
        <v>26</v>
      </c>
      <c r="B27" s="15" t="e">
        <f>COUNTIF(Dados_Brutos!#REF!,A27)</f>
        <v>#REF!</v>
      </c>
      <c r="C27" s="15" t="e">
        <f>SUMIF(Dados_Brutos!#REF!,A27,Dados_Brutos!E:E)</f>
        <v>#REF!</v>
      </c>
      <c r="D27" s="7" t="e">
        <f>IF(Tabela5[[#This Row],[TURBINAS AFETADAS]]&gt;0, _xlfn.XLOOKUP(Tabela5[[#This Row],[CARREIRA]],Dados_Brutos!#REF!,Dados_Brutos!G:G,"Sem dados",0,-1),"Sem dados")</f>
        <v>#REF!</v>
      </c>
      <c r="E27" s="7" t="e">
        <f>IF(Tabela5[[#This Row],[TURBINAS AFETADAS]]&gt;0, _xlfn.XLOOKUP(Tabela5[[#This Row],[CARREIRA]],Dados_Brutos!#REF!,Dados_Brutos!C:C,"Sem dados",0,-1),"Sem dados")</f>
        <v>#REF!</v>
      </c>
      <c r="F27" s="15" t="e">
        <f t="shared" si="0"/>
        <v>#REF!</v>
      </c>
      <c r="G27" s="52" t="e">
        <f>C27*Config!$B$2</f>
        <v>#REF!</v>
      </c>
      <c r="H27" s="45" t="e">
        <f t="shared" si="1"/>
        <v>#REF!</v>
      </c>
    </row>
    <row r="28" spans="1:8" x14ac:dyDescent="0.3">
      <c r="A28" s="43">
        <v>27</v>
      </c>
      <c r="B28" s="15" t="e">
        <f>COUNTIF(Dados_Brutos!#REF!,A28)</f>
        <v>#REF!</v>
      </c>
      <c r="C28" s="15" t="e">
        <f>SUMIF(Dados_Brutos!#REF!,A28,Dados_Brutos!E:E)</f>
        <v>#REF!</v>
      </c>
      <c r="D28" s="7" t="e">
        <f>IF(Tabela5[[#This Row],[TURBINAS AFETADAS]]&gt;0, _xlfn.XLOOKUP(Tabela5[[#This Row],[CARREIRA]],Dados_Brutos!#REF!,Dados_Brutos!G:G,"Sem dados",0,-1),"Sem dados")</f>
        <v>#REF!</v>
      </c>
      <c r="E28" s="7" t="e">
        <f>IF(Tabela5[[#This Row],[TURBINAS AFETADAS]]&gt;0, _xlfn.XLOOKUP(Tabela5[[#This Row],[CARREIRA]],Dados_Brutos!#REF!,Dados_Brutos!C:C,"Sem dados",0,-1),"Sem dados")</f>
        <v>#REF!</v>
      </c>
      <c r="F28" s="15" t="e">
        <f t="shared" si="0"/>
        <v>#REF!</v>
      </c>
      <c r="G28" s="52" t="e">
        <f>C28*Config!$B$2</f>
        <v>#REF!</v>
      </c>
      <c r="H28" s="45" t="e">
        <f t="shared" si="1"/>
        <v>#REF!</v>
      </c>
    </row>
    <row r="29" spans="1:8" x14ac:dyDescent="0.3">
      <c r="A29" s="43">
        <v>28</v>
      </c>
      <c r="B29" s="15" t="e">
        <f>COUNTIF(Dados_Brutos!#REF!,A29)</f>
        <v>#REF!</v>
      </c>
      <c r="C29" s="15" t="e">
        <f>SUMIF(Dados_Brutos!#REF!,A29,Dados_Brutos!E:E)</f>
        <v>#REF!</v>
      </c>
      <c r="D29" s="7" t="e">
        <f>IF(Tabela5[[#This Row],[TURBINAS AFETADAS]]&gt;0, _xlfn.XLOOKUP(Tabela5[[#This Row],[CARREIRA]],Dados_Brutos!#REF!,Dados_Brutos!G:G,"Sem dados",0,-1),"Sem dados")</f>
        <v>#REF!</v>
      </c>
      <c r="E29" s="7" t="e">
        <f>IF(Tabela5[[#This Row],[TURBINAS AFETADAS]]&gt;0, _xlfn.XLOOKUP(Tabela5[[#This Row],[CARREIRA]],Dados_Brutos!#REF!,Dados_Brutos!C:C,"Sem dados",0,-1),"Sem dados")</f>
        <v>#REF!</v>
      </c>
      <c r="F29" s="15" t="e">
        <f t="shared" si="0"/>
        <v>#REF!</v>
      </c>
      <c r="G29" s="52" t="e">
        <f>C29*Config!$B$2</f>
        <v>#REF!</v>
      </c>
      <c r="H29" s="45" t="e">
        <f t="shared" si="1"/>
        <v>#REF!</v>
      </c>
    </row>
    <row r="30" spans="1:8" x14ac:dyDescent="0.3">
      <c r="A30" s="43">
        <v>29</v>
      </c>
      <c r="B30" s="15" t="e">
        <f>COUNTIF(Dados_Brutos!#REF!,A30)</f>
        <v>#REF!</v>
      </c>
      <c r="C30" s="15" t="e">
        <f>SUMIF(Dados_Brutos!#REF!,A30,Dados_Brutos!E:E)</f>
        <v>#REF!</v>
      </c>
      <c r="D30" s="7" t="e">
        <f>IF(Tabela5[[#This Row],[TURBINAS AFETADAS]]&gt;0, _xlfn.XLOOKUP(Tabela5[[#This Row],[CARREIRA]],Dados_Brutos!#REF!,Dados_Brutos!G:G,"Sem dados",0,-1),"Sem dados")</f>
        <v>#REF!</v>
      </c>
      <c r="E30" s="7" t="e">
        <f>IF(Tabela5[[#This Row],[TURBINAS AFETADAS]]&gt;0, _xlfn.XLOOKUP(Tabela5[[#This Row],[CARREIRA]],Dados_Brutos!#REF!,Dados_Brutos!C:C,"Sem dados",0,-1),"Sem dados")</f>
        <v>#REF!</v>
      </c>
      <c r="F30" s="15" t="e">
        <f t="shared" si="0"/>
        <v>#REF!</v>
      </c>
      <c r="G30" s="52" t="e">
        <f>C30*Config!$B$2</f>
        <v>#REF!</v>
      </c>
      <c r="H30" s="45" t="e">
        <f t="shared" si="1"/>
        <v>#REF!</v>
      </c>
    </row>
    <row r="31" spans="1:8" x14ac:dyDescent="0.3">
      <c r="A31" s="43">
        <v>30</v>
      </c>
      <c r="B31" s="15" t="e">
        <f>COUNTIF(Dados_Brutos!#REF!,A31)</f>
        <v>#REF!</v>
      </c>
      <c r="C31" s="15" t="e">
        <f>SUMIF(Dados_Brutos!#REF!,A31,Dados_Brutos!E:E)</f>
        <v>#REF!</v>
      </c>
      <c r="D31" s="7" t="e">
        <f>IF(Tabela5[[#This Row],[TURBINAS AFETADAS]]&gt;0, _xlfn.XLOOKUP(Tabela5[[#This Row],[CARREIRA]],Dados_Brutos!#REF!,Dados_Brutos!G:G,"Sem dados",0,-1),"Sem dados")</f>
        <v>#REF!</v>
      </c>
      <c r="E31" s="7" t="e">
        <f>IF(Tabela5[[#This Row],[TURBINAS AFETADAS]]&gt;0, _xlfn.XLOOKUP(Tabela5[[#This Row],[CARREIRA]],Dados_Brutos!#REF!,Dados_Brutos!C:C,"Sem dados",0,-1),"Sem dados")</f>
        <v>#REF!</v>
      </c>
      <c r="F31" s="15" t="e">
        <f t="shared" si="0"/>
        <v>#REF!</v>
      </c>
      <c r="G31" s="52" t="e">
        <f>C31*Config!$B$2</f>
        <v>#REF!</v>
      </c>
      <c r="H31" s="45" t="e">
        <f t="shared" si="1"/>
        <v>#REF!</v>
      </c>
    </row>
    <row r="32" spans="1:8" x14ac:dyDescent="0.3">
      <c r="A32" s="43">
        <v>31</v>
      </c>
      <c r="B32" s="15" t="e">
        <f>COUNTIF(Dados_Brutos!#REF!,A32)</f>
        <v>#REF!</v>
      </c>
      <c r="C32" s="15" t="e">
        <f>SUMIF(Dados_Brutos!#REF!,A32,Dados_Brutos!E:E)</f>
        <v>#REF!</v>
      </c>
      <c r="D32" s="7" t="e">
        <f>IF(Tabela5[[#This Row],[TURBINAS AFETADAS]]&gt;0, _xlfn.XLOOKUP(Tabela5[[#This Row],[CARREIRA]],Dados_Brutos!#REF!,Dados_Brutos!G:G,"Sem dados",0,-1),"Sem dados")</f>
        <v>#REF!</v>
      </c>
      <c r="E32" s="7" t="e">
        <f>IF(Tabela5[[#This Row],[TURBINAS AFETADAS]]&gt;0, _xlfn.XLOOKUP(Tabela5[[#This Row],[CARREIRA]],Dados_Brutos!#REF!,Dados_Brutos!C:C,"Sem dados",0,-1),"Sem dados")</f>
        <v>#REF!</v>
      </c>
      <c r="F32" s="15" t="e">
        <f t="shared" si="0"/>
        <v>#REF!</v>
      </c>
      <c r="G32" s="52" t="e">
        <f>C32*Config!$B$2</f>
        <v>#REF!</v>
      </c>
      <c r="H32" s="45" t="e">
        <f t="shared" si="1"/>
        <v>#REF!</v>
      </c>
    </row>
    <row r="33" spans="1:8" x14ac:dyDescent="0.3">
      <c r="A33" s="43">
        <v>32</v>
      </c>
      <c r="B33" s="15" t="e">
        <f>COUNTIF(Dados_Brutos!#REF!,A33)</f>
        <v>#REF!</v>
      </c>
      <c r="C33" s="15" t="e">
        <f>SUMIF(Dados_Brutos!#REF!,A33,Dados_Brutos!E:E)</f>
        <v>#REF!</v>
      </c>
      <c r="D33" s="7" t="e">
        <f>IF(Tabela5[[#This Row],[TURBINAS AFETADAS]]&gt;0, _xlfn.XLOOKUP(Tabela5[[#This Row],[CARREIRA]],Dados_Brutos!#REF!,Dados_Brutos!G:G,"Sem dados",0,-1),"Sem dados")</f>
        <v>#REF!</v>
      </c>
      <c r="E33" s="7" t="e">
        <f>IF(Tabela5[[#This Row],[TURBINAS AFETADAS]]&gt;0, _xlfn.XLOOKUP(Tabela5[[#This Row],[CARREIRA]],Dados_Brutos!#REF!,Dados_Brutos!C:C,"Sem dados",0,-1),"Sem dados")</f>
        <v>#REF!</v>
      </c>
      <c r="F33" s="15" t="e">
        <f t="shared" si="0"/>
        <v>#REF!</v>
      </c>
      <c r="G33" s="52" t="e">
        <f>C33*Config!$B$2</f>
        <v>#REF!</v>
      </c>
      <c r="H33" s="45" t="e">
        <f t="shared" si="1"/>
        <v>#REF!</v>
      </c>
    </row>
    <row r="34" spans="1:8" x14ac:dyDescent="0.3">
      <c r="A34" s="43">
        <v>33</v>
      </c>
      <c r="B34" s="15" t="e">
        <f>COUNTIF(Dados_Brutos!#REF!,A34)</f>
        <v>#REF!</v>
      </c>
      <c r="C34" s="15" t="e">
        <f>SUMIF(Dados_Brutos!#REF!,A34,Dados_Brutos!E:E)</f>
        <v>#REF!</v>
      </c>
      <c r="D34" s="7" t="e">
        <f>IF(Tabela5[[#This Row],[TURBINAS AFETADAS]]&gt;0, _xlfn.XLOOKUP(Tabela5[[#This Row],[CARREIRA]],Dados_Brutos!#REF!,Dados_Brutos!G:G,"Sem dados",0,-1),"Sem dados")</f>
        <v>#REF!</v>
      </c>
      <c r="E34" s="7" t="e">
        <f>IF(Tabela5[[#This Row],[TURBINAS AFETADAS]]&gt;0, _xlfn.XLOOKUP(Tabela5[[#This Row],[CARREIRA]],Dados_Brutos!#REF!,Dados_Brutos!C:C,"Sem dados",0,-1),"Sem dados")</f>
        <v>#REF!</v>
      </c>
      <c r="F34" s="15" t="e">
        <f t="shared" si="0"/>
        <v>#REF!</v>
      </c>
      <c r="G34" s="52" t="e">
        <f>C34*Config!$B$2</f>
        <v>#REF!</v>
      </c>
      <c r="H34" s="45" t="e">
        <f t="shared" si="1"/>
        <v>#REF!</v>
      </c>
    </row>
    <row r="35" spans="1:8" x14ac:dyDescent="0.3">
      <c r="A35" s="43">
        <v>34</v>
      </c>
      <c r="B35" s="15" t="e">
        <f>COUNTIF(Dados_Brutos!#REF!,A35)</f>
        <v>#REF!</v>
      </c>
      <c r="C35" s="15" t="e">
        <f>SUMIF(Dados_Brutos!#REF!,A35,Dados_Brutos!E:E)</f>
        <v>#REF!</v>
      </c>
      <c r="D35" s="7" t="e">
        <f>IF(Tabela5[[#This Row],[TURBINAS AFETADAS]]&gt;0, _xlfn.XLOOKUP(Tabela5[[#This Row],[CARREIRA]],Dados_Brutos!#REF!,Dados_Brutos!G:G,"Sem dados",0,-1),"Sem dados")</f>
        <v>#REF!</v>
      </c>
      <c r="E35" s="7" t="e">
        <f>IF(Tabela5[[#This Row],[TURBINAS AFETADAS]]&gt;0, _xlfn.XLOOKUP(Tabela5[[#This Row],[CARREIRA]],Dados_Brutos!#REF!,Dados_Brutos!C:C,"Sem dados",0,-1),"Sem dados")</f>
        <v>#REF!</v>
      </c>
      <c r="F35" s="15" t="e">
        <f t="shared" si="0"/>
        <v>#REF!</v>
      </c>
      <c r="G35" s="52" t="e">
        <f>C35*Config!$B$2</f>
        <v>#REF!</v>
      </c>
      <c r="H35" s="45" t="e">
        <f t="shared" si="1"/>
        <v>#REF!</v>
      </c>
    </row>
    <row r="36" spans="1:8" x14ac:dyDescent="0.3">
      <c r="A36" s="43">
        <v>35</v>
      </c>
      <c r="B36" s="15" t="e">
        <f>COUNTIF(Dados_Brutos!#REF!,A36)</f>
        <v>#REF!</v>
      </c>
      <c r="C36" s="15" t="e">
        <f>SUMIF(Dados_Brutos!#REF!,A36,Dados_Brutos!E:E)</f>
        <v>#REF!</v>
      </c>
      <c r="D36" s="7" t="e">
        <f>IF(Tabela5[[#This Row],[TURBINAS AFETADAS]]&gt;0, _xlfn.XLOOKUP(Tabela5[[#This Row],[CARREIRA]],Dados_Brutos!#REF!,Dados_Brutos!G:G,"Sem dados",0,-1),"Sem dados")</f>
        <v>#REF!</v>
      </c>
      <c r="E36" s="7" t="e">
        <f>IF(Tabela5[[#This Row],[TURBINAS AFETADAS]]&gt;0, _xlfn.XLOOKUP(Tabela5[[#This Row],[CARREIRA]],Dados_Brutos!#REF!,Dados_Brutos!C:C,"Sem dados",0,-1),"Sem dados")</f>
        <v>#REF!</v>
      </c>
      <c r="F36" s="15" t="e">
        <f t="shared" si="0"/>
        <v>#REF!</v>
      </c>
      <c r="G36" s="52" t="e">
        <f>C36*Config!$B$2</f>
        <v>#REF!</v>
      </c>
      <c r="H36" s="45" t="e">
        <f t="shared" si="1"/>
        <v>#REF!</v>
      </c>
    </row>
    <row r="37" spans="1:8" x14ac:dyDescent="0.3">
      <c r="A37" s="43">
        <v>36</v>
      </c>
      <c r="B37" s="15" t="e">
        <f>COUNTIF(Dados_Brutos!#REF!,A37)</f>
        <v>#REF!</v>
      </c>
      <c r="C37" s="15" t="e">
        <f>SUMIF(Dados_Brutos!#REF!,A37,Dados_Brutos!E:E)</f>
        <v>#REF!</v>
      </c>
      <c r="D37" s="7" t="e">
        <f>IF(Tabela5[[#This Row],[TURBINAS AFETADAS]]&gt;0, _xlfn.XLOOKUP(Tabela5[[#This Row],[CARREIRA]],Dados_Brutos!#REF!,Dados_Brutos!G:G,"Sem dados",0,-1),"Sem dados")</f>
        <v>#REF!</v>
      </c>
      <c r="E37" s="7" t="e">
        <f>IF(Tabela5[[#This Row],[TURBINAS AFETADAS]]&gt;0, _xlfn.XLOOKUP(Tabela5[[#This Row],[CARREIRA]],Dados_Brutos!#REF!,Dados_Brutos!C:C,"Sem dados",0,-1),"Sem dados")</f>
        <v>#REF!</v>
      </c>
      <c r="F37" s="15" t="e">
        <f t="shared" ref="F37:F68" si="2">IF(AND(B37&gt;5,C37&gt;20),"🔴 ALTA",IF(AND(B37&gt;3,C37&gt;10),"🟡 MÉDIA","🟢 BAIXA"))</f>
        <v>#REF!</v>
      </c>
      <c r="G37" s="52" t="e">
        <f>C37*Config!$B$2</f>
        <v>#REF!</v>
      </c>
      <c r="H37" s="45" t="e">
        <f t="shared" ref="H37:H68" si="3">IF(B37&gt;0,C37/B37,0)</f>
        <v>#REF!</v>
      </c>
    </row>
    <row r="38" spans="1:8" x14ac:dyDescent="0.3">
      <c r="A38" s="43">
        <v>37</v>
      </c>
      <c r="B38" s="15" t="e">
        <f>COUNTIF(Dados_Brutos!#REF!,A38)</f>
        <v>#REF!</v>
      </c>
      <c r="C38" s="15" t="e">
        <f>SUMIF(Dados_Brutos!#REF!,A38,Dados_Brutos!E:E)</f>
        <v>#REF!</v>
      </c>
      <c r="D38" s="7" t="e">
        <f>IF(Tabela5[[#This Row],[TURBINAS AFETADAS]]&gt;0, _xlfn.XLOOKUP(Tabela5[[#This Row],[CARREIRA]],Dados_Brutos!#REF!,Dados_Brutos!G:G,"Sem dados",0,-1),"Sem dados")</f>
        <v>#REF!</v>
      </c>
      <c r="E38" s="7" t="e">
        <f>IF(Tabela5[[#This Row],[TURBINAS AFETADAS]]&gt;0, _xlfn.XLOOKUP(Tabela5[[#This Row],[CARREIRA]],Dados_Brutos!#REF!,Dados_Brutos!C:C,"Sem dados",0,-1),"Sem dados")</f>
        <v>#REF!</v>
      </c>
      <c r="F38" s="15" t="e">
        <f t="shared" si="2"/>
        <v>#REF!</v>
      </c>
      <c r="G38" s="52" t="e">
        <f>C38*Config!$B$2</f>
        <v>#REF!</v>
      </c>
      <c r="H38" s="45" t="e">
        <f t="shared" si="3"/>
        <v>#REF!</v>
      </c>
    </row>
    <row r="39" spans="1:8" x14ac:dyDescent="0.3">
      <c r="A39" s="43">
        <v>38</v>
      </c>
      <c r="B39" s="15" t="e">
        <f>COUNTIF(Dados_Brutos!#REF!,A39)</f>
        <v>#REF!</v>
      </c>
      <c r="C39" s="15" t="e">
        <f>SUMIF(Dados_Brutos!#REF!,A39,Dados_Brutos!E:E)</f>
        <v>#REF!</v>
      </c>
      <c r="D39" s="7" t="e">
        <f>IF(Tabela5[[#This Row],[TURBINAS AFETADAS]]&gt;0, _xlfn.XLOOKUP(Tabela5[[#This Row],[CARREIRA]],Dados_Brutos!#REF!,Dados_Brutos!G:G,"Sem dados",0,-1),"Sem dados")</f>
        <v>#REF!</v>
      </c>
      <c r="E39" s="7" t="e">
        <f>IF(Tabela5[[#This Row],[TURBINAS AFETADAS]]&gt;0, _xlfn.XLOOKUP(Tabela5[[#This Row],[CARREIRA]],Dados_Brutos!#REF!,Dados_Brutos!C:C,"Sem dados",0,-1),"Sem dados")</f>
        <v>#REF!</v>
      </c>
      <c r="F39" s="15" t="e">
        <f t="shared" si="2"/>
        <v>#REF!</v>
      </c>
      <c r="G39" s="52" t="e">
        <f>C39*Config!$B$2</f>
        <v>#REF!</v>
      </c>
      <c r="H39" s="45" t="e">
        <f t="shared" si="3"/>
        <v>#REF!</v>
      </c>
    </row>
    <row r="40" spans="1:8" x14ac:dyDescent="0.3">
      <c r="A40" s="43">
        <v>39</v>
      </c>
      <c r="B40" s="15" t="e">
        <f>COUNTIF(Dados_Brutos!#REF!,A40)</f>
        <v>#REF!</v>
      </c>
      <c r="C40" s="15" t="e">
        <f>SUMIF(Dados_Brutos!#REF!,A40,Dados_Brutos!E:E)</f>
        <v>#REF!</v>
      </c>
      <c r="D40" s="7" t="e">
        <f>IF(Tabela5[[#This Row],[TURBINAS AFETADAS]]&gt;0, _xlfn.XLOOKUP(Tabela5[[#This Row],[CARREIRA]],Dados_Brutos!#REF!,Dados_Brutos!G:G,"Sem dados",0,-1),"Sem dados")</f>
        <v>#REF!</v>
      </c>
      <c r="E40" s="7" t="e">
        <f>IF(Tabela5[[#This Row],[TURBINAS AFETADAS]]&gt;0, _xlfn.XLOOKUP(Tabela5[[#This Row],[CARREIRA]],Dados_Brutos!#REF!,Dados_Brutos!C:C,"Sem dados",0,-1),"Sem dados")</f>
        <v>#REF!</v>
      </c>
      <c r="F40" s="15" t="e">
        <f t="shared" si="2"/>
        <v>#REF!</v>
      </c>
      <c r="G40" s="52" t="e">
        <f>C40*Config!$B$2</f>
        <v>#REF!</v>
      </c>
      <c r="H40" s="45" t="e">
        <f t="shared" si="3"/>
        <v>#REF!</v>
      </c>
    </row>
    <row r="41" spans="1:8" x14ac:dyDescent="0.3">
      <c r="A41" s="43">
        <v>40</v>
      </c>
      <c r="B41" s="15" t="e">
        <f>COUNTIF(Dados_Brutos!#REF!,A41)</f>
        <v>#REF!</v>
      </c>
      <c r="C41" s="15" t="e">
        <f>SUMIF(Dados_Brutos!#REF!,A41,Dados_Brutos!E:E)</f>
        <v>#REF!</v>
      </c>
      <c r="D41" s="7" t="e">
        <f>IF(Tabela5[[#This Row],[TURBINAS AFETADAS]]&gt;0, _xlfn.XLOOKUP(Tabela5[[#This Row],[CARREIRA]],Dados_Brutos!#REF!,Dados_Brutos!G:G,"Sem dados",0,-1),"Sem dados")</f>
        <v>#REF!</v>
      </c>
      <c r="E41" s="7" t="e">
        <f>IF(Tabela5[[#This Row],[TURBINAS AFETADAS]]&gt;0, _xlfn.XLOOKUP(Tabela5[[#This Row],[CARREIRA]],Dados_Brutos!#REF!,Dados_Brutos!C:C,"Sem dados",0,-1),"Sem dados")</f>
        <v>#REF!</v>
      </c>
      <c r="F41" s="15" t="e">
        <f t="shared" si="2"/>
        <v>#REF!</v>
      </c>
      <c r="G41" s="52" t="e">
        <f>C41*Config!$B$2</f>
        <v>#REF!</v>
      </c>
      <c r="H41" s="45" t="e">
        <f t="shared" si="3"/>
        <v>#REF!</v>
      </c>
    </row>
    <row r="42" spans="1:8" x14ac:dyDescent="0.3">
      <c r="A42" s="43">
        <v>41</v>
      </c>
      <c r="B42" s="15" t="e">
        <f>COUNTIF(Dados_Brutos!#REF!,A42)</f>
        <v>#REF!</v>
      </c>
      <c r="C42" s="15" t="e">
        <f>SUMIF(Dados_Brutos!#REF!,A42,Dados_Brutos!E:E)</f>
        <v>#REF!</v>
      </c>
      <c r="D42" s="7" t="e">
        <f>IF(Tabela5[[#This Row],[TURBINAS AFETADAS]]&gt;0, _xlfn.XLOOKUP(Tabela5[[#This Row],[CARREIRA]],Dados_Brutos!#REF!,Dados_Brutos!G:G,"Sem dados",0,-1),"Sem dados")</f>
        <v>#REF!</v>
      </c>
      <c r="E42" s="7" t="e">
        <f>IF(Tabela5[[#This Row],[TURBINAS AFETADAS]]&gt;0, _xlfn.XLOOKUP(Tabela5[[#This Row],[CARREIRA]],Dados_Brutos!#REF!,Dados_Brutos!C:C,"Sem dados",0,-1),"Sem dados")</f>
        <v>#REF!</v>
      </c>
      <c r="F42" s="15" t="e">
        <f t="shared" si="2"/>
        <v>#REF!</v>
      </c>
      <c r="G42" s="52" t="e">
        <f>C42*Config!$B$2</f>
        <v>#REF!</v>
      </c>
      <c r="H42" s="45" t="e">
        <f t="shared" si="3"/>
        <v>#REF!</v>
      </c>
    </row>
    <row r="43" spans="1:8" x14ac:dyDescent="0.3">
      <c r="A43" s="43">
        <v>42</v>
      </c>
      <c r="B43" s="15" t="e">
        <f>COUNTIF(Dados_Brutos!#REF!,A43)</f>
        <v>#REF!</v>
      </c>
      <c r="C43" s="15" t="e">
        <f>SUMIF(Dados_Brutos!#REF!,A43,Dados_Brutos!E:E)</f>
        <v>#REF!</v>
      </c>
      <c r="D43" s="7" t="e">
        <f>IF(Tabela5[[#This Row],[TURBINAS AFETADAS]]&gt;0, _xlfn.XLOOKUP(Tabela5[[#This Row],[CARREIRA]],Dados_Brutos!#REF!,Dados_Brutos!G:G,"Sem dados",0,-1),"Sem dados")</f>
        <v>#REF!</v>
      </c>
      <c r="E43" s="7" t="e">
        <f>IF(Tabela5[[#This Row],[TURBINAS AFETADAS]]&gt;0, _xlfn.XLOOKUP(Tabela5[[#This Row],[CARREIRA]],Dados_Brutos!#REF!,Dados_Brutos!C:C,"Sem dados",0,-1),"Sem dados")</f>
        <v>#REF!</v>
      </c>
      <c r="F43" s="15" t="e">
        <f t="shared" si="2"/>
        <v>#REF!</v>
      </c>
      <c r="G43" s="52" t="e">
        <f>C43*Config!$B$2</f>
        <v>#REF!</v>
      </c>
      <c r="H43" s="45" t="e">
        <f t="shared" si="3"/>
        <v>#REF!</v>
      </c>
    </row>
    <row r="44" spans="1:8" x14ac:dyDescent="0.3">
      <c r="A44" s="43">
        <v>43</v>
      </c>
      <c r="B44" s="15" t="e">
        <f>COUNTIF(Dados_Brutos!#REF!,A44)</f>
        <v>#REF!</v>
      </c>
      <c r="C44" s="15" t="e">
        <f>SUMIF(Dados_Brutos!#REF!,A44,Dados_Brutos!E:E)</f>
        <v>#REF!</v>
      </c>
      <c r="D44" s="7" t="e">
        <f>IF(Tabela5[[#This Row],[TURBINAS AFETADAS]]&gt;0, _xlfn.XLOOKUP(Tabela5[[#This Row],[CARREIRA]],Dados_Brutos!#REF!,Dados_Brutos!G:G,"Sem dados",0,-1),"Sem dados")</f>
        <v>#REF!</v>
      </c>
      <c r="E44" s="7" t="e">
        <f>IF(Tabela5[[#This Row],[TURBINAS AFETADAS]]&gt;0, _xlfn.XLOOKUP(Tabela5[[#This Row],[CARREIRA]],Dados_Brutos!#REF!,Dados_Brutos!C:C,"Sem dados",0,-1),"Sem dados")</f>
        <v>#REF!</v>
      </c>
      <c r="F44" s="15" t="e">
        <f t="shared" si="2"/>
        <v>#REF!</v>
      </c>
      <c r="G44" s="52" t="e">
        <f>C44*Config!$B$2</f>
        <v>#REF!</v>
      </c>
      <c r="H44" s="45" t="e">
        <f t="shared" si="3"/>
        <v>#REF!</v>
      </c>
    </row>
    <row r="45" spans="1:8" x14ac:dyDescent="0.3">
      <c r="A45" s="43">
        <v>44</v>
      </c>
      <c r="B45" s="15" t="e">
        <f>COUNTIF(Dados_Brutos!#REF!,A45)</f>
        <v>#REF!</v>
      </c>
      <c r="C45" s="15" t="e">
        <f>SUMIF(Dados_Brutos!#REF!,A45,Dados_Brutos!E:E)</f>
        <v>#REF!</v>
      </c>
      <c r="D45" s="7" t="e">
        <f>IF(Tabela5[[#This Row],[TURBINAS AFETADAS]]&gt;0, _xlfn.XLOOKUP(Tabela5[[#This Row],[CARREIRA]],Dados_Brutos!#REF!,Dados_Brutos!G:G,"Sem dados",0,-1),"Sem dados")</f>
        <v>#REF!</v>
      </c>
      <c r="E45" s="7" t="e">
        <f>IF(Tabela5[[#This Row],[TURBINAS AFETADAS]]&gt;0, _xlfn.XLOOKUP(Tabela5[[#This Row],[CARREIRA]],Dados_Brutos!#REF!,Dados_Brutos!C:C,"Sem dados",0,-1),"Sem dados")</f>
        <v>#REF!</v>
      </c>
      <c r="F45" s="15" t="e">
        <f t="shared" si="2"/>
        <v>#REF!</v>
      </c>
      <c r="G45" s="52" t="e">
        <f>C45*Config!$B$2</f>
        <v>#REF!</v>
      </c>
      <c r="H45" s="45" t="e">
        <f t="shared" si="3"/>
        <v>#REF!</v>
      </c>
    </row>
    <row r="46" spans="1:8" x14ac:dyDescent="0.3">
      <c r="A46" s="43">
        <v>45</v>
      </c>
      <c r="B46" s="15" t="e">
        <f>COUNTIF(Dados_Brutos!#REF!,A46)</f>
        <v>#REF!</v>
      </c>
      <c r="C46" s="15" t="e">
        <f>SUMIF(Dados_Brutos!#REF!,A46,Dados_Brutos!E:E)</f>
        <v>#REF!</v>
      </c>
      <c r="D46" s="7" t="e">
        <f>IF(Tabela5[[#This Row],[TURBINAS AFETADAS]]&gt;0, _xlfn.XLOOKUP(Tabela5[[#This Row],[CARREIRA]],Dados_Brutos!#REF!,Dados_Brutos!G:G,"Sem dados",0,-1),"Sem dados")</f>
        <v>#REF!</v>
      </c>
      <c r="E46" s="7" t="e">
        <f>IF(Tabela5[[#This Row],[TURBINAS AFETADAS]]&gt;0, _xlfn.XLOOKUP(Tabela5[[#This Row],[CARREIRA]],Dados_Brutos!#REF!,Dados_Brutos!C:C,"Sem dados",0,-1),"Sem dados")</f>
        <v>#REF!</v>
      </c>
      <c r="F46" s="15" t="e">
        <f t="shared" si="2"/>
        <v>#REF!</v>
      </c>
      <c r="G46" s="52" t="e">
        <f>C46*Config!$B$2</f>
        <v>#REF!</v>
      </c>
      <c r="H46" s="45" t="e">
        <f t="shared" si="3"/>
        <v>#REF!</v>
      </c>
    </row>
    <row r="47" spans="1:8" x14ac:dyDescent="0.3">
      <c r="A47" s="43">
        <v>46</v>
      </c>
      <c r="B47" s="15" t="e">
        <f>COUNTIF(Dados_Brutos!#REF!,A47)</f>
        <v>#REF!</v>
      </c>
      <c r="C47" s="15" t="e">
        <f>SUMIF(Dados_Brutos!#REF!,A47,Dados_Brutos!E:E)</f>
        <v>#REF!</v>
      </c>
      <c r="D47" s="7" t="e">
        <f>IF(Tabela5[[#This Row],[TURBINAS AFETADAS]]&gt;0, _xlfn.XLOOKUP(Tabela5[[#This Row],[CARREIRA]],Dados_Brutos!#REF!,Dados_Brutos!G:G,"Sem dados",0,-1),"Sem dados")</f>
        <v>#REF!</v>
      </c>
      <c r="E47" s="7" t="e">
        <f>IF(Tabela5[[#This Row],[TURBINAS AFETADAS]]&gt;0, _xlfn.XLOOKUP(Tabela5[[#This Row],[CARREIRA]],Dados_Brutos!#REF!,Dados_Brutos!C:C,"Sem dados",0,-1),"Sem dados")</f>
        <v>#REF!</v>
      </c>
      <c r="F47" s="15" t="e">
        <f t="shared" si="2"/>
        <v>#REF!</v>
      </c>
      <c r="G47" s="52" t="e">
        <f>C47*Config!$B$2</f>
        <v>#REF!</v>
      </c>
      <c r="H47" s="45" t="e">
        <f t="shared" si="3"/>
        <v>#REF!</v>
      </c>
    </row>
    <row r="48" spans="1:8" x14ac:dyDescent="0.3">
      <c r="A48" s="43">
        <v>47</v>
      </c>
      <c r="B48" s="15" t="e">
        <f>COUNTIF(Dados_Brutos!#REF!,A48)</f>
        <v>#REF!</v>
      </c>
      <c r="C48" s="15" t="e">
        <f>SUMIF(Dados_Brutos!#REF!,A48,Dados_Brutos!E:E)</f>
        <v>#REF!</v>
      </c>
      <c r="D48" s="7" t="e">
        <f>IF(Tabela5[[#This Row],[TURBINAS AFETADAS]]&gt;0, _xlfn.XLOOKUP(Tabela5[[#This Row],[CARREIRA]],Dados_Brutos!#REF!,Dados_Brutos!G:G,"Sem dados",0,-1),"Sem dados")</f>
        <v>#REF!</v>
      </c>
      <c r="E48" s="7" t="e">
        <f>IF(Tabela5[[#This Row],[TURBINAS AFETADAS]]&gt;0, _xlfn.XLOOKUP(Tabela5[[#This Row],[CARREIRA]],Dados_Brutos!#REF!,Dados_Brutos!C:C,"Sem dados",0,-1),"Sem dados")</f>
        <v>#REF!</v>
      </c>
      <c r="F48" s="15" t="e">
        <f t="shared" si="2"/>
        <v>#REF!</v>
      </c>
      <c r="G48" s="52" t="e">
        <f>C48*Config!$B$2</f>
        <v>#REF!</v>
      </c>
      <c r="H48" s="45" t="e">
        <f t="shared" si="3"/>
        <v>#REF!</v>
      </c>
    </row>
    <row r="49" spans="1:8" x14ac:dyDescent="0.3">
      <c r="A49" s="43">
        <v>48</v>
      </c>
      <c r="B49" s="15" t="e">
        <f>COUNTIF(Dados_Brutos!#REF!,A49)</f>
        <v>#REF!</v>
      </c>
      <c r="C49" s="15" t="e">
        <f>SUMIF(Dados_Brutos!#REF!,A49,Dados_Brutos!E:E)</f>
        <v>#REF!</v>
      </c>
      <c r="D49" s="7" t="e">
        <f>IF(Tabela5[[#This Row],[TURBINAS AFETADAS]]&gt;0, _xlfn.XLOOKUP(Tabela5[[#This Row],[CARREIRA]],Dados_Brutos!#REF!,Dados_Brutos!G:G,"Sem dados",0,-1),"Sem dados")</f>
        <v>#REF!</v>
      </c>
      <c r="E49" s="7" t="e">
        <f>IF(Tabela5[[#This Row],[TURBINAS AFETADAS]]&gt;0, _xlfn.XLOOKUP(Tabela5[[#This Row],[CARREIRA]],Dados_Brutos!#REF!,Dados_Brutos!C:C,"Sem dados",0,-1),"Sem dados")</f>
        <v>#REF!</v>
      </c>
      <c r="F49" s="15" t="e">
        <f t="shared" si="2"/>
        <v>#REF!</v>
      </c>
      <c r="G49" s="52" t="e">
        <f>C49*Config!$B$2</f>
        <v>#REF!</v>
      </c>
      <c r="H49" s="45" t="e">
        <f t="shared" si="3"/>
        <v>#REF!</v>
      </c>
    </row>
    <row r="50" spans="1:8" x14ac:dyDescent="0.3">
      <c r="A50" s="43">
        <v>49</v>
      </c>
      <c r="B50" s="15" t="e">
        <f>COUNTIF(Dados_Brutos!#REF!,A50)</f>
        <v>#REF!</v>
      </c>
      <c r="C50" s="15" t="e">
        <f>SUMIF(Dados_Brutos!#REF!,A50,Dados_Brutos!E:E)</f>
        <v>#REF!</v>
      </c>
      <c r="D50" s="7" t="e">
        <f>IF(Tabela5[[#This Row],[TURBINAS AFETADAS]]&gt;0, _xlfn.XLOOKUP(Tabela5[[#This Row],[CARREIRA]],Dados_Brutos!#REF!,Dados_Brutos!G:G,"Sem dados",0,-1),"Sem dados")</f>
        <v>#REF!</v>
      </c>
      <c r="E50" s="7" t="e">
        <f>IF(Tabela5[[#This Row],[TURBINAS AFETADAS]]&gt;0, _xlfn.XLOOKUP(Tabela5[[#This Row],[CARREIRA]],Dados_Brutos!#REF!,Dados_Brutos!C:C,"Sem dados",0,-1),"Sem dados")</f>
        <v>#REF!</v>
      </c>
      <c r="F50" s="15" t="e">
        <f t="shared" si="2"/>
        <v>#REF!</v>
      </c>
      <c r="G50" s="52" t="e">
        <f>C50*Config!$B$2</f>
        <v>#REF!</v>
      </c>
      <c r="H50" s="45" t="e">
        <f t="shared" si="3"/>
        <v>#REF!</v>
      </c>
    </row>
    <row r="51" spans="1:8" x14ac:dyDescent="0.3">
      <c r="A51" s="43">
        <v>50</v>
      </c>
      <c r="B51" s="15" t="e">
        <f>COUNTIF(Dados_Brutos!#REF!,A51)</f>
        <v>#REF!</v>
      </c>
      <c r="C51" s="15" t="e">
        <f>SUMIF(Dados_Brutos!#REF!,A51,Dados_Brutos!E:E)</f>
        <v>#REF!</v>
      </c>
      <c r="D51" s="7" t="e">
        <f>IF(Tabela5[[#This Row],[TURBINAS AFETADAS]]&gt;0, _xlfn.XLOOKUP(Tabela5[[#This Row],[CARREIRA]],Dados_Brutos!#REF!,Dados_Brutos!G:G,"Sem dados",0,-1),"Sem dados")</f>
        <v>#REF!</v>
      </c>
      <c r="E51" s="7" t="e">
        <f>IF(Tabela5[[#This Row],[TURBINAS AFETADAS]]&gt;0, _xlfn.XLOOKUP(Tabela5[[#This Row],[CARREIRA]],Dados_Brutos!#REF!,Dados_Brutos!C:C,"Sem dados",0,-1),"Sem dados")</f>
        <v>#REF!</v>
      </c>
      <c r="F51" s="15" t="e">
        <f t="shared" si="2"/>
        <v>#REF!</v>
      </c>
      <c r="G51" s="52" t="e">
        <f>C51*Config!$B$2</f>
        <v>#REF!</v>
      </c>
      <c r="H51" s="45" t="e">
        <f t="shared" si="3"/>
        <v>#REF!</v>
      </c>
    </row>
    <row r="52" spans="1:8" x14ac:dyDescent="0.3">
      <c r="A52" s="43">
        <v>51</v>
      </c>
      <c r="B52" s="15" t="e">
        <f>COUNTIF(Dados_Brutos!#REF!,A52)</f>
        <v>#REF!</v>
      </c>
      <c r="C52" s="15" t="e">
        <f>SUMIF(Dados_Brutos!#REF!,A52,Dados_Brutos!E:E)</f>
        <v>#REF!</v>
      </c>
      <c r="D52" s="7" t="e">
        <f>IF(Tabela5[[#This Row],[TURBINAS AFETADAS]]&gt;0, _xlfn.XLOOKUP(Tabela5[[#This Row],[CARREIRA]],Dados_Brutos!#REF!,Dados_Brutos!G:G,"Sem dados",0,-1),"Sem dados")</f>
        <v>#REF!</v>
      </c>
      <c r="E52" s="7" t="e">
        <f>IF(Tabela5[[#This Row],[TURBINAS AFETADAS]]&gt;0, _xlfn.XLOOKUP(Tabela5[[#This Row],[CARREIRA]],Dados_Brutos!#REF!,Dados_Brutos!C:C,"Sem dados",0,-1),"Sem dados")</f>
        <v>#REF!</v>
      </c>
      <c r="F52" s="15" t="e">
        <f t="shared" si="2"/>
        <v>#REF!</v>
      </c>
      <c r="G52" s="52" t="e">
        <f>C52*Config!$B$2</f>
        <v>#REF!</v>
      </c>
      <c r="H52" s="45" t="e">
        <f t="shared" si="3"/>
        <v>#REF!</v>
      </c>
    </row>
    <row r="53" spans="1:8" x14ac:dyDescent="0.3">
      <c r="A53" s="43">
        <v>52</v>
      </c>
      <c r="B53" s="15" t="e">
        <f>COUNTIF(Dados_Brutos!#REF!,A53)</f>
        <v>#REF!</v>
      </c>
      <c r="C53" s="15" t="e">
        <f>SUMIF(Dados_Brutos!#REF!,A53,Dados_Brutos!E:E)</f>
        <v>#REF!</v>
      </c>
      <c r="D53" s="7" t="e">
        <f>IF(Tabela5[[#This Row],[TURBINAS AFETADAS]]&gt;0, _xlfn.XLOOKUP(Tabela5[[#This Row],[CARREIRA]],Dados_Brutos!#REF!,Dados_Brutos!G:G,"Sem dados",0,-1),"Sem dados")</f>
        <v>#REF!</v>
      </c>
      <c r="E53" s="7" t="e">
        <f>IF(Tabela5[[#This Row],[TURBINAS AFETADAS]]&gt;0, _xlfn.XLOOKUP(Tabela5[[#This Row],[CARREIRA]],Dados_Brutos!#REF!,Dados_Brutos!C:C,"Sem dados",0,-1),"Sem dados")</f>
        <v>#REF!</v>
      </c>
      <c r="F53" s="15" t="e">
        <f t="shared" si="2"/>
        <v>#REF!</v>
      </c>
      <c r="G53" s="52" t="e">
        <f>C53*Config!$B$2</f>
        <v>#REF!</v>
      </c>
      <c r="H53" s="45" t="e">
        <f t="shared" si="3"/>
        <v>#REF!</v>
      </c>
    </row>
    <row r="54" spans="1:8" x14ac:dyDescent="0.3">
      <c r="A54" s="43">
        <v>53</v>
      </c>
      <c r="B54" s="15" t="e">
        <f>COUNTIF(Dados_Brutos!#REF!,A54)</f>
        <v>#REF!</v>
      </c>
      <c r="C54" s="15" t="e">
        <f>SUMIF(Dados_Brutos!#REF!,A54,Dados_Brutos!E:E)</f>
        <v>#REF!</v>
      </c>
      <c r="D54" s="7" t="e">
        <f>IF(Tabela5[[#This Row],[TURBINAS AFETADAS]]&gt;0, _xlfn.XLOOKUP(Tabela5[[#This Row],[CARREIRA]],Dados_Brutos!#REF!,Dados_Brutos!G:G,"Sem dados",0,-1),"Sem dados")</f>
        <v>#REF!</v>
      </c>
      <c r="E54" s="7" t="e">
        <f>IF(Tabela5[[#This Row],[TURBINAS AFETADAS]]&gt;0, _xlfn.XLOOKUP(Tabela5[[#This Row],[CARREIRA]],Dados_Brutos!#REF!,Dados_Brutos!C:C,"Sem dados",0,-1),"Sem dados")</f>
        <v>#REF!</v>
      </c>
      <c r="F54" s="15" t="e">
        <f t="shared" si="2"/>
        <v>#REF!</v>
      </c>
      <c r="G54" s="52" t="e">
        <f>C54*Config!$B$2</f>
        <v>#REF!</v>
      </c>
      <c r="H54" s="45" t="e">
        <f t="shared" si="3"/>
        <v>#REF!</v>
      </c>
    </row>
    <row r="55" spans="1:8" x14ac:dyDescent="0.3">
      <c r="A55" s="43">
        <v>54</v>
      </c>
      <c r="B55" s="15" t="e">
        <f>COUNTIF(Dados_Brutos!#REF!,A55)</f>
        <v>#REF!</v>
      </c>
      <c r="C55" s="15" t="e">
        <f>SUMIF(Dados_Brutos!#REF!,A55,Dados_Brutos!E:E)</f>
        <v>#REF!</v>
      </c>
      <c r="D55" s="7" t="e">
        <f>IF(Tabela5[[#This Row],[TURBINAS AFETADAS]]&gt;0, _xlfn.XLOOKUP(Tabela5[[#This Row],[CARREIRA]],Dados_Brutos!#REF!,Dados_Brutos!G:G,"Sem dados",0,-1),"Sem dados")</f>
        <v>#REF!</v>
      </c>
      <c r="E55" s="7" t="e">
        <f>IF(Tabela5[[#This Row],[TURBINAS AFETADAS]]&gt;0, _xlfn.XLOOKUP(Tabela5[[#This Row],[CARREIRA]],Dados_Brutos!#REF!,Dados_Brutos!C:C,"Sem dados",0,-1),"Sem dados")</f>
        <v>#REF!</v>
      </c>
      <c r="F55" s="15" t="e">
        <f t="shared" si="2"/>
        <v>#REF!</v>
      </c>
      <c r="G55" s="52" t="e">
        <f>C55*Config!$B$2</f>
        <v>#REF!</v>
      </c>
      <c r="H55" s="45" t="e">
        <f t="shared" si="3"/>
        <v>#REF!</v>
      </c>
    </row>
    <row r="56" spans="1:8" x14ac:dyDescent="0.3">
      <c r="A56" s="43">
        <v>55</v>
      </c>
      <c r="B56" s="15" t="e">
        <f>COUNTIF(Dados_Brutos!#REF!,A56)</f>
        <v>#REF!</v>
      </c>
      <c r="C56" s="15" t="e">
        <f>SUMIF(Dados_Brutos!#REF!,A56,Dados_Brutos!E:E)</f>
        <v>#REF!</v>
      </c>
      <c r="D56" s="7" t="e">
        <f>IF(Tabela5[[#This Row],[TURBINAS AFETADAS]]&gt;0, _xlfn.XLOOKUP(Tabela5[[#This Row],[CARREIRA]],Dados_Brutos!#REF!,Dados_Brutos!G:G,"Sem dados",0,-1),"Sem dados")</f>
        <v>#REF!</v>
      </c>
      <c r="E56" s="7" t="e">
        <f>IF(Tabela5[[#This Row],[TURBINAS AFETADAS]]&gt;0, _xlfn.XLOOKUP(Tabela5[[#This Row],[CARREIRA]],Dados_Brutos!#REF!,Dados_Brutos!C:C,"Sem dados",0,-1),"Sem dados")</f>
        <v>#REF!</v>
      </c>
      <c r="F56" s="15" t="e">
        <f t="shared" si="2"/>
        <v>#REF!</v>
      </c>
      <c r="G56" s="52" t="e">
        <f>C56*Config!$B$2</f>
        <v>#REF!</v>
      </c>
      <c r="H56" s="45" t="e">
        <f t="shared" si="3"/>
        <v>#REF!</v>
      </c>
    </row>
    <row r="57" spans="1:8" x14ac:dyDescent="0.3">
      <c r="A57" s="43">
        <v>56</v>
      </c>
      <c r="B57" s="15" t="e">
        <f>COUNTIF(Dados_Brutos!#REF!,A57)</f>
        <v>#REF!</v>
      </c>
      <c r="C57" s="15" t="e">
        <f>SUMIF(Dados_Brutos!#REF!,A57,Dados_Brutos!E:E)</f>
        <v>#REF!</v>
      </c>
      <c r="D57" s="7" t="e">
        <f>IF(Tabela5[[#This Row],[TURBINAS AFETADAS]]&gt;0, _xlfn.XLOOKUP(Tabela5[[#This Row],[CARREIRA]],Dados_Brutos!#REF!,Dados_Brutos!G:G,"Sem dados",0,-1),"Sem dados")</f>
        <v>#REF!</v>
      </c>
      <c r="E57" s="7" t="e">
        <f>IF(Tabela5[[#This Row],[TURBINAS AFETADAS]]&gt;0, _xlfn.XLOOKUP(Tabela5[[#This Row],[CARREIRA]],Dados_Brutos!#REF!,Dados_Brutos!C:C,"Sem dados",0,-1),"Sem dados")</f>
        <v>#REF!</v>
      </c>
      <c r="F57" s="15" t="e">
        <f t="shared" si="2"/>
        <v>#REF!</v>
      </c>
      <c r="G57" s="52" t="e">
        <f>C57*Config!$B$2</f>
        <v>#REF!</v>
      </c>
      <c r="H57" s="45" t="e">
        <f t="shared" si="3"/>
        <v>#REF!</v>
      </c>
    </row>
    <row r="58" spans="1:8" x14ac:dyDescent="0.3">
      <c r="A58" s="43">
        <v>57</v>
      </c>
      <c r="B58" s="15" t="e">
        <f>COUNTIF(Dados_Brutos!#REF!,A58)</f>
        <v>#REF!</v>
      </c>
      <c r="C58" s="15" t="e">
        <f>SUMIF(Dados_Brutos!#REF!,A58,Dados_Brutos!E:E)</f>
        <v>#REF!</v>
      </c>
      <c r="D58" s="7" t="e">
        <f>IF(Tabela5[[#This Row],[TURBINAS AFETADAS]]&gt;0, _xlfn.XLOOKUP(Tabela5[[#This Row],[CARREIRA]],Dados_Brutos!#REF!,Dados_Brutos!G:G,"Sem dados",0,-1),"Sem dados")</f>
        <v>#REF!</v>
      </c>
      <c r="E58" s="7" t="e">
        <f>IF(Tabela5[[#This Row],[TURBINAS AFETADAS]]&gt;0, _xlfn.XLOOKUP(Tabela5[[#This Row],[CARREIRA]],Dados_Brutos!#REF!,Dados_Brutos!C:C,"Sem dados",0,-1),"Sem dados")</f>
        <v>#REF!</v>
      </c>
      <c r="F58" s="15" t="e">
        <f t="shared" si="2"/>
        <v>#REF!</v>
      </c>
      <c r="G58" s="52" t="e">
        <f>C58*Config!$B$2</f>
        <v>#REF!</v>
      </c>
      <c r="H58" s="45" t="e">
        <f t="shared" si="3"/>
        <v>#REF!</v>
      </c>
    </row>
    <row r="59" spans="1:8" x14ac:dyDescent="0.3">
      <c r="A59" s="43">
        <v>58</v>
      </c>
      <c r="B59" s="15" t="e">
        <f>COUNTIF(Dados_Brutos!#REF!,A59)</f>
        <v>#REF!</v>
      </c>
      <c r="C59" s="15" t="e">
        <f>SUMIF(Dados_Brutos!#REF!,A59,Dados_Brutos!E:E)</f>
        <v>#REF!</v>
      </c>
      <c r="D59" s="7" t="e">
        <f>IF(Tabela5[[#This Row],[TURBINAS AFETADAS]]&gt;0, _xlfn.XLOOKUP(Tabela5[[#This Row],[CARREIRA]],Dados_Brutos!#REF!,Dados_Brutos!G:G,"Sem dados",0,-1),"Sem dados")</f>
        <v>#REF!</v>
      </c>
      <c r="E59" s="7" t="e">
        <f>IF(Tabela5[[#This Row],[TURBINAS AFETADAS]]&gt;0, _xlfn.XLOOKUP(Tabela5[[#This Row],[CARREIRA]],Dados_Brutos!#REF!,Dados_Brutos!C:C,"Sem dados",0,-1),"Sem dados")</f>
        <v>#REF!</v>
      </c>
      <c r="F59" s="15" t="e">
        <f t="shared" si="2"/>
        <v>#REF!</v>
      </c>
      <c r="G59" s="52" t="e">
        <f>C59*Config!$B$2</f>
        <v>#REF!</v>
      </c>
      <c r="H59" s="45" t="e">
        <f t="shared" si="3"/>
        <v>#REF!</v>
      </c>
    </row>
    <row r="60" spans="1:8" x14ac:dyDescent="0.3">
      <c r="A60" s="43">
        <v>59</v>
      </c>
      <c r="B60" s="15" t="e">
        <f>COUNTIF(Dados_Brutos!#REF!,A60)</f>
        <v>#REF!</v>
      </c>
      <c r="C60" s="15" t="e">
        <f>SUMIF(Dados_Brutos!#REF!,A60,Dados_Brutos!E:E)</f>
        <v>#REF!</v>
      </c>
      <c r="D60" s="7" t="e">
        <f>IF(Tabela5[[#This Row],[TURBINAS AFETADAS]]&gt;0, _xlfn.XLOOKUP(Tabela5[[#This Row],[CARREIRA]],Dados_Brutos!#REF!,Dados_Brutos!G:G,"Sem dados",0,-1),"Sem dados")</f>
        <v>#REF!</v>
      </c>
      <c r="E60" s="7" t="e">
        <f>IF(Tabela5[[#This Row],[TURBINAS AFETADAS]]&gt;0, _xlfn.XLOOKUP(Tabela5[[#This Row],[CARREIRA]],Dados_Brutos!#REF!,Dados_Brutos!C:C,"Sem dados",0,-1),"Sem dados")</f>
        <v>#REF!</v>
      </c>
      <c r="F60" s="15" t="e">
        <f t="shared" si="2"/>
        <v>#REF!</v>
      </c>
      <c r="G60" s="52" t="e">
        <f>C60*Config!$B$2</f>
        <v>#REF!</v>
      </c>
      <c r="H60" s="45" t="e">
        <f t="shared" si="3"/>
        <v>#REF!</v>
      </c>
    </row>
    <row r="61" spans="1:8" x14ac:dyDescent="0.3">
      <c r="A61" s="43">
        <v>60</v>
      </c>
      <c r="B61" s="15" t="e">
        <f>COUNTIF(Dados_Brutos!#REF!,A61)</f>
        <v>#REF!</v>
      </c>
      <c r="C61" s="15" t="e">
        <f>SUMIF(Dados_Brutos!#REF!,A61,Dados_Brutos!E:E)</f>
        <v>#REF!</v>
      </c>
      <c r="D61" s="7" t="e">
        <f>IF(Tabela5[[#This Row],[TURBINAS AFETADAS]]&gt;0, _xlfn.XLOOKUP(Tabela5[[#This Row],[CARREIRA]],Dados_Brutos!#REF!,Dados_Brutos!G:G,"Sem dados",0,-1),"Sem dados")</f>
        <v>#REF!</v>
      </c>
      <c r="E61" s="7" t="e">
        <f>IF(Tabela5[[#This Row],[TURBINAS AFETADAS]]&gt;0, _xlfn.XLOOKUP(Tabela5[[#This Row],[CARREIRA]],Dados_Brutos!#REF!,Dados_Brutos!C:C,"Sem dados",0,-1),"Sem dados")</f>
        <v>#REF!</v>
      </c>
      <c r="F61" s="15" t="e">
        <f t="shared" si="2"/>
        <v>#REF!</v>
      </c>
      <c r="G61" s="52" t="e">
        <f>C61*Config!$B$2</f>
        <v>#REF!</v>
      </c>
      <c r="H61" s="45" t="e">
        <f t="shared" si="3"/>
        <v>#REF!</v>
      </c>
    </row>
    <row r="62" spans="1:8" x14ac:dyDescent="0.3">
      <c r="A62" s="43">
        <v>61</v>
      </c>
      <c r="B62" s="15" t="e">
        <f>COUNTIF(Dados_Brutos!#REF!,A62)</f>
        <v>#REF!</v>
      </c>
      <c r="C62" s="15" t="e">
        <f>SUMIF(Dados_Brutos!#REF!,A62,Dados_Brutos!E:E)</f>
        <v>#REF!</v>
      </c>
      <c r="D62" s="7" t="e">
        <f>IF(Tabela5[[#This Row],[TURBINAS AFETADAS]]&gt;0, _xlfn.XLOOKUP(Tabela5[[#This Row],[CARREIRA]],Dados_Brutos!#REF!,Dados_Brutos!G:G,"Sem dados",0,-1),"Sem dados")</f>
        <v>#REF!</v>
      </c>
      <c r="E62" s="7" t="e">
        <f>IF(Tabela5[[#This Row],[TURBINAS AFETADAS]]&gt;0, _xlfn.XLOOKUP(Tabela5[[#This Row],[CARREIRA]],Dados_Brutos!#REF!,Dados_Brutos!C:C,"Sem dados",0,-1),"Sem dados")</f>
        <v>#REF!</v>
      </c>
      <c r="F62" s="15" t="e">
        <f t="shared" si="2"/>
        <v>#REF!</v>
      </c>
      <c r="G62" s="52" t="e">
        <f>C62*Config!$B$2</f>
        <v>#REF!</v>
      </c>
      <c r="H62" s="45" t="e">
        <f t="shared" si="3"/>
        <v>#REF!</v>
      </c>
    </row>
    <row r="63" spans="1:8" x14ac:dyDescent="0.3">
      <c r="A63" s="43">
        <v>62</v>
      </c>
      <c r="B63" s="15" t="e">
        <f>COUNTIF(Dados_Brutos!#REF!,A63)</f>
        <v>#REF!</v>
      </c>
      <c r="C63" s="15" t="e">
        <f>SUMIF(Dados_Brutos!#REF!,A63,Dados_Brutos!E:E)</f>
        <v>#REF!</v>
      </c>
      <c r="D63" s="7" t="e">
        <f>IF(Tabela5[[#This Row],[TURBINAS AFETADAS]]&gt;0, _xlfn.XLOOKUP(Tabela5[[#This Row],[CARREIRA]],Dados_Brutos!#REF!,Dados_Brutos!G:G,"Sem dados",0,-1),"Sem dados")</f>
        <v>#REF!</v>
      </c>
      <c r="E63" s="7" t="e">
        <f>IF(Tabela5[[#This Row],[TURBINAS AFETADAS]]&gt;0, _xlfn.XLOOKUP(Tabela5[[#This Row],[CARREIRA]],Dados_Brutos!#REF!,Dados_Brutos!C:C,"Sem dados",0,-1),"Sem dados")</f>
        <v>#REF!</v>
      </c>
      <c r="F63" s="15" t="e">
        <f t="shared" si="2"/>
        <v>#REF!</v>
      </c>
      <c r="G63" s="52" t="e">
        <f>C63*Config!$B$2</f>
        <v>#REF!</v>
      </c>
      <c r="H63" s="45" t="e">
        <f t="shared" si="3"/>
        <v>#REF!</v>
      </c>
    </row>
    <row r="64" spans="1:8" x14ac:dyDescent="0.3">
      <c r="A64" s="43">
        <v>63</v>
      </c>
      <c r="B64" s="15" t="e">
        <f>COUNTIF(Dados_Brutos!#REF!,A64)</f>
        <v>#REF!</v>
      </c>
      <c r="C64" s="15" t="e">
        <f>SUMIF(Dados_Brutos!#REF!,A64,Dados_Brutos!E:E)</f>
        <v>#REF!</v>
      </c>
      <c r="D64" s="7" t="e">
        <f>IF(Tabela5[[#This Row],[TURBINAS AFETADAS]]&gt;0, _xlfn.XLOOKUP(Tabela5[[#This Row],[CARREIRA]],Dados_Brutos!#REF!,Dados_Brutos!G:G,"Sem dados",0,-1),"Sem dados")</f>
        <v>#REF!</v>
      </c>
      <c r="E64" s="7" t="e">
        <f>IF(Tabela5[[#This Row],[TURBINAS AFETADAS]]&gt;0, _xlfn.XLOOKUP(Tabela5[[#This Row],[CARREIRA]],Dados_Brutos!#REF!,Dados_Brutos!C:C,"Sem dados",0,-1),"Sem dados")</f>
        <v>#REF!</v>
      </c>
      <c r="F64" s="15" t="e">
        <f t="shared" si="2"/>
        <v>#REF!</v>
      </c>
      <c r="G64" s="52" t="e">
        <f>C64*Config!$B$2</f>
        <v>#REF!</v>
      </c>
      <c r="H64" s="45" t="e">
        <f t="shared" si="3"/>
        <v>#REF!</v>
      </c>
    </row>
    <row r="65" spans="1:8" x14ac:dyDescent="0.3">
      <c r="A65" s="43">
        <v>64</v>
      </c>
      <c r="B65" s="15" t="e">
        <f>COUNTIF(Dados_Brutos!#REF!,A65)</f>
        <v>#REF!</v>
      </c>
      <c r="C65" s="15" t="e">
        <f>SUMIF(Dados_Brutos!#REF!,A65,Dados_Brutos!E:E)</f>
        <v>#REF!</v>
      </c>
      <c r="D65" s="7" t="e">
        <f>IF(Tabela5[[#This Row],[TURBINAS AFETADAS]]&gt;0, _xlfn.XLOOKUP(Tabela5[[#This Row],[CARREIRA]],Dados_Brutos!#REF!,Dados_Brutos!G:G,"Sem dados",0,-1),"Sem dados")</f>
        <v>#REF!</v>
      </c>
      <c r="E65" s="7" t="e">
        <f>IF(Tabela5[[#This Row],[TURBINAS AFETADAS]]&gt;0, _xlfn.XLOOKUP(Tabela5[[#This Row],[CARREIRA]],Dados_Brutos!#REF!,Dados_Brutos!C:C,"Sem dados",0,-1),"Sem dados")</f>
        <v>#REF!</v>
      </c>
      <c r="F65" s="15" t="e">
        <f t="shared" si="2"/>
        <v>#REF!</v>
      </c>
      <c r="G65" s="52" t="e">
        <f>C65*Config!$B$2</f>
        <v>#REF!</v>
      </c>
      <c r="H65" s="45" t="e">
        <f t="shared" si="3"/>
        <v>#REF!</v>
      </c>
    </row>
    <row r="66" spans="1:8" x14ac:dyDescent="0.3">
      <c r="A66" s="43">
        <v>65</v>
      </c>
      <c r="B66" s="15" t="e">
        <f>COUNTIF(Dados_Brutos!#REF!,A66)</f>
        <v>#REF!</v>
      </c>
      <c r="C66" s="15" t="e">
        <f>SUMIF(Dados_Brutos!#REF!,A66,Dados_Brutos!E:E)</f>
        <v>#REF!</v>
      </c>
      <c r="D66" s="7" t="e">
        <f>IF(Tabela5[[#This Row],[TURBINAS AFETADAS]]&gt;0, _xlfn.XLOOKUP(Tabela5[[#This Row],[CARREIRA]],Dados_Brutos!#REF!,Dados_Brutos!G:G,"Sem dados",0,-1),"Sem dados")</f>
        <v>#REF!</v>
      </c>
      <c r="E66" s="7" t="e">
        <f>IF(Tabela5[[#This Row],[TURBINAS AFETADAS]]&gt;0, _xlfn.XLOOKUP(Tabela5[[#This Row],[CARREIRA]],Dados_Brutos!#REF!,Dados_Brutos!C:C,"Sem dados",0,-1),"Sem dados")</f>
        <v>#REF!</v>
      </c>
      <c r="F66" s="15" t="e">
        <f t="shared" si="2"/>
        <v>#REF!</v>
      </c>
      <c r="G66" s="52" t="e">
        <f>C66*Config!$B$2</f>
        <v>#REF!</v>
      </c>
      <c r="H66" s="45" t="e">
        <f t="shared" si="3"/>
        <v>#REF!</v>
      </c>
    </row>
    <row r="67" spans="1:8" x14ac:dyDescent="0.3">
      <c r="A67" s="43">
        <v>66</v>
      </c>
      <c r="B67" s="15" t="e">
        <f>COUNTIF(Dados_Brutos!#REF!,A67)</f>
        <v>#REF!</v>
      </c>
      <c r="C67" s="15" t="e">
        <f>SUMIF(Dados_Brutos!#REF!,A67,Dados_Brutos!E:E)</f>
        <v>#REF!</v>
      </c>
      <c r="D67" s="7" t="e">
        <f>IF(Tabela5[[#This Row],[TURBINAS AFETADAS]]&gt;0, _xlfn.XLOOKUP(Tabela5[[#This Row],[CARREIRA]],Dados_Brutos!#REF!,Dados_Brutos!G:G,"Sem dados",0,-1),"Sem dados")</f>
        <v>#REF!</v>
      </c>
      <c r="E67" s="7" t="e">
        <f>IF(Tabela5[[#This Row],[TURBINAS AFETADAS]]&gt;0, _xlfn.XLOOKUP(Tabela5[[#This Row],[CARREIRA]],Dados_Brutos!#REF!,Dados_Brutos!C:C,"Sem dados",0,-1),"Sem dados")</f>
        <v>#REF!</v>
      </c>
      <c r="F67" s="15" t="e">
        <f t="shared" si="2"/>
        <v>#REF!</v>
      </c>
      <c r="G67" s="52" t="e">
        <f>C67*Config!$B$2</f>
        <v>#REF!</v>
      </c>
      <c r="H67" s="45" t="e">
        <f t="shared" si="3"/>
        <v>#REF!</v>
      </c>
    </row>
    <row r="68" spans="1:8" x14ac:dyDescent="0.3">
      <c r="A68" s="43">
        <v>67</v>
      </c>
      <c r="B68" s="15" t="e">
        <f>COUNTIF(Dados_Brutos!#REF!,A68)</f>
        <v>#REF!</v>
      </c>
      <c r="C68" s="15" t="e">
        <f>SUMIF(Dados_Brutos!#REF!,A68,Dados_Brutos!E:E)</f>
        <v>#REF!</v>
      </c>
      <c r="D68" s="7" t="e">
        <f>IF(Tabela5[[#This Row],[TURBINAS AFETADAS]]&gt;0, _xlfn.XLOOKUP(Tabela5[[#This Row],[CARREIRA]],Dados_Brutos!#REF!,Dados_Brutos!G:G,"Sem dados",0,-1),"Sem dados")</f>
        <v>#REF!</v>
      </c>
      <c r="E68" s="7" t="e">
        <f>IF(Tabela5[[#This Row],[TURBINAS AFETADAS]]&gt;0, _xlfn.XLOOKUP(Tabela5[[#This Row],[CARREIRA]],Dados_Brutos!#REF!,Dados_Brutos!C:C,"Sem dados",0,-1),"Sem dados")</f>
        <v>#REF!</v>
      </c>
      <c r="F68" s="15" t="e">
        <f t="shared" si="2"/>
        <v>#REF!</v>
      </c>
      <c r="G68" s="52" t="e">
        <f>C68*Config!$B$2</f>
        <v>#REF!</v>
      </c>
      <c r="H68" s="45" t="e">
        <f t="shared" si="3"/>
        <v>#REF!</v>
      </c>
    </row>
    <row r="69" spans="1:8" x14ac:dyDescent="0.3">
      <c r="A69" s="43">
        <v>68</v>
      </c>
      <c r="B69" s="15" t="e">
        <f>COUNTIF(Dados_Brutos!#REF!,A69)</f>
        <v>#REF!</v>
      </c>
      <c r="C69" s="15" t="e">
        <f>SUMIF(Dados_Brutos!#REF!,A69,Dados_Brutos!E:E)</f>
        <v>#REF!</v>
      </c>
      <c r="D69" s="7" t="e">
        <f>IF(Tabela5[[#This Row],[TURBINAS AFETADAS]]&gt;0, _xlfn.XLOOKUP(Tabela5[[#This Row],[CARREIRA]],Dados_Brutos!#REF!,Dados_Brutos!G:G,"Sem dados",0,-1),"Sem dados")</f>
        <v>#REF!</v>
      </c>
      <c r="E69" s="7" t="e">
        <f>IF(Tabela5[[#This Row],[TURBINAS AFETADAS]]&gt;0, _xlfn.XLOOKUP(Tabela5[[#This Row],[CARREIRA]],Dados_Brutos!#REF!,Dados_Brutos!C:C,"Sem dados",0,-1),"Sem dados")</f>
        <v>#REF!</v>
      </c>
      <c r="F69" s="15" t="e">
        <f t="shared" ref="F69:F100" si="4">IF(AND(B69&gt;5,C69&gt;20),"🔴 ALTA",IF(AND(B69&gt;3,C69&gt;10),"🟡 MÉDIA","🟢 BAIXA"))</f>
        <v>#REF!</v>
      </c>
      <c r="G69" s="52" t="e">
        <f>C69*Config!$B$2</f>
        <v>#REF!</v>
      </c>
      <c r="H69" s="45" t="e">
        <f t="shared" ref="H69:H100" si="5">IF(B69&gt;0,C69/B69,0)</f>
        <v>#REF!</v>
      </c>
    </row>
    <row r="70" spans="1:8" x14ac:dyDescent="0.3">
      <c r="A70" s="43">
        <v>69</v>
      </c>
      <c r="B70" s="15" t="e">
        <f>COUNTIF(Dados_Brutos!#REF!,A70)</f>
        <v>#REF!</v>
      </c>
      <c r="C70" s="15" t="e">
        <f>SUMIF(Dados_Brutos!#REF!,A70,Dados_Brutos!E:E)</f>
        <v>#REF!</v>
      </c>
      <c r="D70" s="7" t="e">
        <f>IF(Tabela5[[#This Row],[TURBINAS AFETADAS]]&gt;0, _xlfn.XLOOKUP(Tabela5[[#This Row],[CARREIRA]],Dados_Brutos!#REF!,Dados_Brutos!G:G,"Sem dados",0,-1),"Sem dados")</f>
        <v>#REF!</v>
      </c>
      <c r="E70" s="7" t="e">
        <f>IF(Tabela5[[#This Row],[TURBINAS AFETADAS]]&gt;0, _xlfn.XLOOKUP(Tabela5[[#This Row],[CARREIRA]],Dados_Brutos!#REF!,Dados_Brutos!C:C,"Sem dados",0,-1),"Sem dados")</f>
        <v>#REF!</v>
      </c>
      <c r="F70" s="15" t="e">
        <f t="shared" si="4"/>
        <v>#REF!</v>
      </c>
      <c r="G70" s="52" t="e">
        <f>C70*Config!$B$2</f>
        <v>#REF!</v>
      </c>
      <c r="H70" s="45" t="e">
        <f t="shared" si="5"/>
        <v>#REF!</v>
      </c>
    </row>
    <row r="71" spans="1:8" x14ac:dyDescent="0.3">
      <c r="A71" s="43">
        <v>70</v>
      </c>
      <c r="B71" s="15" t="e">
        <f>COUNTIF(Dados_Brutos!#REF!,A71)</f>
        <v>#REF!</v>
      </c>
      <c r="C71" s="15" t="e">
        <f>SUMIF(Dados_Brutos!#REF!,A71,Dados_Brutos!E:E)</f>
        <v>#REF!</v>
      </c>
      <c r="D71" s="7" t="e">
        <f>IF(Tabela5[[#This Row],[TURBINAS AFETADAS]]&gt;0, _xlfn.XLOOKUP(Tabela5[[#This Row],[CARREIRA]],Dados_Brutos!#REF!,Dados_Brutos!G:G,"Sem dados",0,-1),"Sem dados")</f>
        <v>#REF!</v>
      </c>
      <c r="E71" s="7" t="e">
        <f>IF(Tabela5[[#This Row],[TURBINAS AFETADAS]]&gt;0, _xlfn.XLOOKUP(Tabela5[[#This Row],[CARREIRA]],Dados_Brutos!#REF!,Dados_Brutos!C:C,"Sem dados",0,-1),"Sem dados")</f>
        <v>#REF!</v>
      </c>
      <c r="F71" s="15" t="e">
        <f t="shared" si="4"/>
        <v>#REF!</v>
      </c>
      <c r="G71" s="52" t="e">
        <f>C71*Config!$B$2</f>
        <v>#REF!</v>
      </c>
      <c r="H71" s="45" t="e">
        <f t="shared" si="5"/>
        <v>#REF!</v>
      </c>
    </row>
    <row r="72" spans="1:8" x14ac:dyDescent="0.3">
      <c r="A72" s="43">
        <v>71</v>
      </c>
      <c r="B72" s="15" t="e">
        <f>COUNTIF(Dados_Brutos!#REF!,A72)</f>
        <v>#REF!</v>
      </c>
      <c r="C72" s="15" t="e">
        <f>SUMIF(Dados_Brutos!#REF!,A72,Dados_Brutos!E:E)</f>
        <v>#REF!</v>
      </c>
      <c r="D72" s="7" t="e">
        <f>IF(Tabela5[[#This Row],[TURBINAS AFETADAS]]&gt;0, _xlfn.XLOOKUP(Tabela5[[#This Row],[CARREIRA]],Dados_Brutos!#REF!,Dados_Brutos!G:G,"Sem dados",0,-1),"Sem dados")</f>
        <v>#REF!</v>
      </c>
      <c r="E72" s="7" t="e">
        <f>IF(Tabela5[[#This Row],[TURBINAS AFETADAS]]&gt;0, _xlfn.XLOOKUP(Tabela5[[#This Row],[CARREIRA]],Dados_Brutos!#REF!,Dados_Brutos!C:C,"Sem dados",0,-1),"Sem dados")</f>
        <v>#REF!</v>
      </c>
      <c r="F72" s="15" t="e">
        <f t="shared" si="4"/>
        <v>#REF!</v>
      </c>
      <c r="G72" s="52" t="e">
        <f>C72*Config!$B$2</f>
        <v>#REF!</v>
      </c>
      <c r="H72" s="45" t="e">
        <f t="shared" si="5"/>
        <v>#REF!</v>
      </c>
    </row>
    <row r="73" spans="1:8" x14ac:dyDescent="0.3">
      <c r="A73" s="43">
        <v>72</v>
      </c>
      <c r="B73" s="15" t="e">
        <f>COUNTIF(Dados_Brutos!#REF!,A73)</f>
        <v>#REF!</v>
      </c>
      <c r="C73" s="15" t="e">
        <f>SUMIF(Dados_Brutos!#REF!,A73,Dados_Brutos!E:E)</f>
        <v>#REF!</v>
      </c>
      <c r="D73" s="7" t="e">
        <f>IF(Tabela5[[#This Row],[TURBINAS AFETADAS]]&gt;0, _xlfn.XLOOKUP(Tabela5[[#This Row],[CARREIRA]],Dados_Brutos!#REF!,Dados_Brutos!G:G,"Sem dados",0,-1),"Sem dados")</f>
        <v>#REF!</v>
      </c>
      <c r="E73" s="7" t="e">
        <f>IF(Tabela5[[#This Row],[TURBINAS AFETADAS]]&gt;0, _xlfn.XLOOKUP(Tabela5[[#This Row],[CARREIRA]],Dados_Brutos!#REF!,Dados_Brutos!C:C,"Sem dados",0,-1),"Sem dados")</f>
        <v>#REF!</v>
      </c>
      <c r="F73" s="15" t="e">
        <f t="shared" si="4"/>
        <v>#REF!</v>
      </c>
      <c r="G73" s="52" t="e">
        <f>C73*Config!$B$2</f>
        <v>#REF!</v>
      </c>
      <c r="H73" s="45" t="e">
        <f t="shared" si="5"/>
        <v>#REF!</v>
      </c>
    </row>
    <row r="74" spans="1:8" x14ac:dyDescent="0.3">
      <c r="A74" s="43">
        <v>73</v>
      </c>
      <c r="B74" s="15" t="e">
        <f>COUNTIF(Dados_Brutos!#REF!,A74)</f>
        <v>#REF!</v>
      </c>
      <c r="C74" s="15" t="e">
        <f>SUMIF(Dados_Brutos!#REF!,A74,Dados_Brutos!E:E)</f>
        <v>#REF!</v>
      </c>
      <c r="D74" s="7" t="e">
        <f>IF(Tabela5[[#This Row],[TURBINAS AFETADAS]]&gt;0, _xlfn.XLOOKUP(Tabela5[[#This Row],[CARREIRA]],Dados_Brutos!#REF!,Dados_Brutos!G:G,"Sem dados",0,-1),"Sem dados")</f>
        <v>#REF!</v>
      </c>
      <c r="E74" s="7" t="e">
        <f>IF(Tabela5[[#This Row],[TURBINAS AFETADAS]]&gt;0, _xlfn.XLOOKUP(Tabela5[[#This Row],[CARREIRA]],Dados_Brutos!#REF!,Dados_Brutos!C:C,"Sem dados",0,-1),"Sem dados")</f>
        <v>#REF!</v>
      </c>
      <c r="F74" s="15" t="e">
        <f t="shared" si="4"/>
        <v>#REF!</v>
      </c>
      <c r="G74" s="52" t="e">
        <f>C74*Config!$B$2</f>
        <v>#REF!</v>
      </c>
      <c r="H74" s="45" t="e">
        <f t="shared" si="5"/>
        <v>#REF!</v>
      </c>
    </row>
    <row r="75" spans="1:8" x14ac:dyDescent="0.3">
      <c r="A75" s="43">
        <v>74</v>
      </c>
      <c r="B75" s="15" t="e">
        <f>COUNTIF(Dados_Brutos!#REF!,A75)</f>
        <v>#REF!</v>
      </c>
      <c r="C75" s="15" t="e">
        <f>SUMIF(Dados_Brutos!#REF!,A75,Dados_Brutos!E:E)</f>
        <v>#REF!</v>
      </c>
      <c r="D75" s="7" t="e">
        <f>IF(Tabela5[[#This Row],[TURBINAS AFETADAS]]&gt;0, _xlfn.XLOOKUP(Tabela5[[#This Row],[CARREIRA]],Dados_Brutos!#REF!,Dados_Brutos!G:G,"Sem dados",0,-1),"Sem dados")</f>
        <v>#REF!</v>
      </c>
      <c r="E75" s="7" t="e">
        <f>IF(Tabela5[[#This Row],[TURBINAS AFETADAS]]&gt;0, _xlfn.XLOOKUP(Tabela5[[#This Row],[CARREIRA]],Dados_Brutos!#REF!,Dados_Brutos!C:C,"Sem dados",0,-1),"Sem dados")</f>
        <v>#REF!</v>
      </c>
      <c r="F75" s="15" t="e">
        <f t="shared" si="4"/>
        <v>#REF!</v>
      </c>
      <c r="G75" s="52" t="e">
        <f>C75*Config!$B$2</f>
        <v>#REF!</v>
      </c>
      <c r="H75" s="45" t="e">
        <f t="shared" si="5"/>
        <v>#REF!</v>
      </c>
    </row>
    <row r="76" spans="1:8" x14ac:dyDescent="0.3">
      <c r="A76" s="43">
        <v>75</v>
      </c>
      <c r="B76" s="15" t="e">
        <f>COUNTIF(Dados_Brutos!#REF!,A76)</f>
        <v>#REF!</v>
      </c>
      <c r="C76" s="15" t="e">
        <f>SUMIF(Dados_Brutos!#REF!,A76,Dados_Brutos!E:E)</f>
        <v>#REF!</v>
      </c>
      <c r="D76" s="7" t="e">
        <f>IF(Tabela5[[#This Row],[TURBINAS AFETADAS]]&gt;0, _xlfn.XLOOKUP(Tabela5[[#This Row],[CARREIRA]],Dados_Brutos!#REF!,Dados_Brutos!G:G,"Sem dados",0,-1),"Sem dados")</f>
        <v>#REF!</v>
      </c>
      <c r="E76" s="7" t="e">
        <f>IF(Tabela5[[#This Row],[TURBINAS AFETADAS]]&gt;0, _xlfn.XLOOKUP(Tabela5[[#This Row],[CARREIRA]],Dados_Brutos!#REF!,Dados_Brutos!C:C,"Sem dados",0,-1),"Sem dados")</f>
        <v>#REF!</v>
      </c>
      <c r="F76" s="15" t="e">
        <f t="shared" si="4"/>
        <v>#REF!</v>
      </c>
      <c r="G76" s="52" t="e">
        <f>C76*Config!$B$2</f>
        <v>#REF!</v>
      </c>
      <c r="H76" s="45" t="e">
        <f t="shared" si="5"/>
        <v>#REF!</v>
      </c>
    </row>
    <row r="77" spans="1:8" x14ac:dyDescent="0.3">
      <c r="A77" s="43">
        <v>76</v>
      </c>
      <c r="B77" s="15" t="e">
        <f>COUNTIF(Dados_Brutos!#REF!,A77)</f>
        <v>#REF!</v>
      </c>
      <c r="C77" s="15" t="e">
        <f>SUMIF(Dados_Brutos!#REF!,A77,Dados_Brutos!E:E)</f>
        <v>#REF!</v>
      </c>
      <c r="D77" s="7" t="e">
        <f>IF(Tabela5[[#This Row],[TURBINAS AFETADAS]]&gt;0, _xlfn.XLOOKUP(Tabela5[[#This Row],[CARREIRA]],Dados_Brutos!#REF!,Dados_Brutos!G:G,"Sem dados",0,-1),"Sem dados")</f>
        <v>#REF!</v>
      </c>
      <c r="E77" s="7" t="e">
        <f>IF(Tabela5[[#This Row],[TURBINAS AFETADAS]]&gt;0, _xlfn.XLOOKUP(Tabela5[[#This Row],[CARREIRA]],Dados_Brutos!#REF!,Dados_Brutos!C:C,"Sem dados",0,-1),"Sem dados")</f>
        <v>#REF!</v>
      </c>
      <c r="F77" s="15" t="e">
        <f t="shared" si="4"/>
        <v>#REF!</v>
      </c>
      <c r="G77" s="52" t="e">
        <f>C77*Config!$B$2</f>
        <v>#REF!</v>
      </c>
      <c r="H77" s="45" t="e">
        <f t="shared" si="5"/>
        <v>#REF!</v>
      </c>
    </row>
    <row r="78" spans="1:8" x14ac:dyDescent="0.3">
      <c r="A78" s="43">
        <v>77</v>
      </c>
      <c r="B78" s="15" t="e">
        <f>COUNTIF(Dados_Brutos!#REF!,A78)</f>
        <v>#REF!</v>
      </c>
      <c r="C78" s="15" t="e">
        <f>SUMIF(Dados_Brutos!#REF!,A78,Dados_Brutos!E:E)</f>
        <v>#REF!</v>
      </c>
      <c r="D78" s="7" t="e">
        <f>IF(Tabela5[[#This Row],[TURBINAS AFETADAS]]&gt;0, _xlfn.XLOOKUP(Tabela5[[#This Row],[CARREIRA]],Dados_Brutos!#REF!,Dados_Brutos!G:G,"Sem dados",0,-1),"Sem dados")</f>
        <v>#REF!</v>
      </c>
      <c r="E78" s="7" t="e">
        <f>IF(Tabela5[[#This Row],[TURBINAS AFETADAS]]&gt;0, _xlfn.XLOOKUP(Tabela5[[#This Row],[CARREIRA]],Dados_Brutos!#REF!,Dados_Brutos!C:C,"Sem dados",0,-1),"Sem dados")</f>
        <v>#REF!</v>
      </c>
      <c r="F78" s="15" t="e">
        <f t="shared" si="4"/>
        <v>#REF!</v>
      </c>
      <c r="G78" s="52" t="e">
        <f>C78*Config!$B$2</f>
        <v>#REF!</v>
      </c>
      <c r="H78" s="45" t="e">
        <f t="shared" si="5"/>
        <v>#REF!</v>
      </c>
    </row>
    <row r="79" spans="1:8" x14ac:dyDescent="0.3">
      <c r="A79" s="43">
        <v>78</v>
      </c>
      <c r="B79" s="15" t="e">
        <f>COUNTIF(Dados_Brutos!#REF!,A79)</f>
        <v>#REF!</v>
      </c>
      <c r="C79" s="15" t="e">
        <f>SUMIF(Dados_Brutos!#REF!,A79,Dados_Brutos!E:E)</f>
        <v>#REF!</v>
      </c>
      <c r="D79" s="7" t="e">
        <f>IF(Tabela5[[#This Row],[TURBINAS AFETADAS]]&gt;0, _xlfn.XLOOKUP(Tabela5[[#This Row],[CARREIRA]],Dados_Brutos!#REF!,Dados_Brutos!G:G,"Sem dados",0,-1),"Sem dados")</f>
        <v>#REF!</v>
      </c>
      <c r="E79" s="7" t="e">
        <f>IF(Tabela5[[#This Row],[TURBINAS AFETADAS]]&gt;0, _xlfn.XLOOKUP(Tabela5[[#This Row],[CARREIRA]],Dados_Brutos!#REF!,Dados_Brutos!C:C,"Sem dados",0,-1),"Sem dados")</f>
        <v>#REF!</v>
      </c>
      <c r="F79" s="15" t="e">
        <f t="shared" si="4"/>
        <v>#REF!</v>
      </c>
      <c r="G79" s="52" t="e">
        <f>C79*Config!$B$2</f>
        <v>#REF!</v>
      </c>
      <c r="H79" s="45" t="e">
        <f t="shared" si="5"/>
        <v>#REF!</v>
      </c>
    </row>
    <row r="80" spans="1:8" x14ac:dyDescent="0.3">
      <c r="A80" s="43">
        <v>79</v>
      </c>
      <c r="B80" s="15" t="e">
        <f>COUNTIF(Dados_Brutos!#REF!,A80)</f>
        <v>#REF!</v>
      </c>
      <c r="C80" s="15" t="e">
        <f>SUMIF(Dados_Brutos!#REF!,A80,Dados_Brutos!E:E)</f>
        <v>#REF!</v>
      </c>
      <c r="D80" s="7" t="e">
        <f>IF(Tabela5[[#This Row],[TURBINAS AFETADAS]]&gt;0, _xlfn.XLOOKUP(Tabela5[[#This Row],[CARREIRA]],Dados_Brutos!#REF!,Dados_Brutos!G:G,"Sem dados",0,-1),"Sem dados")</f>
        <v>#REF!</v>
      </c>
      <c r="E80" s="7" t="e">
        <f>IF(Tabela5[[#This Row],[TURBINAS AFETADAS]]&gt;0, _xlfn.XLOOKUP(Tabela5[[#This Row],[CARREIRA]],Dados_Brutos!#REF!,Dados_Brutos!C:C,"Sem dados",0,-1),"Sem dados")</f>
        <v>#REF!</v>
      </c>
      <c r="F80" s="15" t="e">
        <f t="shared" si="4"/>
        <v>#REF!</v>
      </c>
      <c r="G80" s="52" t="e">
        <f>C80*Config!$B$2</f>
        <v>#REF!</v>
      </c>
      <c r="H80" s="45" t="e">
        <f t="shared" si="5"/>
        <v>#REF!</v>
      </c>
    </row>
    <row r="81" spans="1:8" x14ac:dyDescent="0.3">
      <c r="A81" s="43">
        <v>80</v>
      </c>
      <c r="B81" s="15" t="e">
        <f>COUNTIF(Dados_Brutos!#REF!,A81)</f>
        <v>#REF!</v>
      </c>
      <c r="C81" s="15" t="e">
        <f>SUMIF(Dados_Brutos!#REF!,A81,Dados_Brutos!E:E)</f>
        <v>#REF!</v>
      </c>
      <c r="D81" s="7" t="e">
        <f>IF(Tabela5[[#This Row],[TURBINAS AFETADAS]]&gt;0, _xlfn.XLOOKUP(Tabela5[[#This Row],[CARREIRA]],Dados_Brutos!#REF!,Dados_Brutos!G:G,"Sem dados",0,-1),"Sem dados")</f>
        <v>#REF!</v>
      </c>
      <c r="E81" s="7" t="e">
        <f>IF(Tabela5[[#This Row],[TURBINAS AFETADAS]]&gt;0, _xlfn.XLOOKUP(Tabela5[[#This Row],[CARREIRA]],Dados_Brutos!#REF!,Dados_Brutos!C:C,"Sem dados",0,-1),"Sem dados")</f>
        <v>#REF!</v>
      </c>
      <c r="F81" s="15" t="e">
        <f t="shared" si="4"/>
        <v>#REF!</v>
      </c>
      <c r="G81" s="52" t="e">
        <f>C81*Config!$B$2</f>
        <v>#REF!</v>
      </c>
      <c r="H81" s="45" t="e">
        <f t="shared" si="5"/>
        <v>#REF!</v>
      </c>
    </row>
    <row r="82" spans="1:8" x14ac:dyDescent="0.3">
      <c r="A82" s="43">
        <v>81</v>
      </c>
      <c r="B82" s="15" t="e">
        <f>COUNTIF(Dados_Brutos!#REF!,A82)</f>
        <v>#REF!</v>
      </c>
      <c r="C82" s="15" t="e">
        <f>SUMIF(Dados_Brutos!#REF!,A82,Dados_Brutos!E:E)</f>
        <v>#REF!</v>
      </c>
      <c r="D82" s="7" t="e">
        <f>IF(Tabela5[[#This Row],[TURBINAS AFETADAS]]&gt;0, _xlfn.XLOOKUP(Tabela5[[#This Row],[CARREIRA]],Dados_Brutos!#REF!,Dados_Brutos!G:G,"Sem dados",0,-1),"Sem dados")</f>
        <v>#REF!</v>
      </c>
      <c r="E82" s="7" t="e">
        <f>IF(Tabela5[[#This Row],[TURBINAS AFETADAS]]&gt;0, _xlfn.XLOOKUP(Tabela5[[#This Row],[CARREIRA]],Dados_Brutos!#REF!,Dados_Brutos!C:C,"Sem dados",0,-1),"Sem dados")</f>
        <v>#REF!</v>
      </c>
      <c r="F82" s="15" t="e">
        <f t="shared" si="4"/>
        <v>#REF!</v>
      </c>
      <c r="G82" s="52" t="e">
        <f>C82*Config!$B$2</f>
        <v>#REF!</v>
      </c>
      <c r="H82" s="45" t="e">
        <f t="shared" si="5"/>
        <v>#REF!</v>
      </c>
    </row>
    <row r="83" spans="1:8" x14ac:dyDescent="0.3">
      <c r="A83" s="43">
        <v>82</v>
      </c>
      <c r="B83" s="15" t="e">
        <f>COUNTIF(Dados_Brutos!#REF!,A83)</f>
        <v>#REF!</v>
      </c>
      <c r="C83" s="15" t="e">
        <f>SUMIF(Dados_Brutos!#REF!,A83,Dados_Brutos!E:E)</f>
        <v>#REF!</v>
      </c>
      <c r="D83" s="7" t="e">
        <f>IF(Tabela5[[#This Row],[TURBINAS AFETADAS]]&gt;0, _xlfn.XLOOKUP(Tabela5[[#This Row],[CARREIRA]],Dados_Brutos!#REF!,Dados_Brutos!G:G,"Sem dados",0,-1),"Sem dados")</f>
        <v>#REF!</v>
      </c>
      <c r="E83" s="7" t="e">
        <f>IF(Tabela5[[#This Row],[TURBINAS AFETADAS]]&gt;0, _xlfn.XLOOKUP(Tabela5[[#This Row],[CARREIRA]],Dados_Brutos!#REF!,Dados_Brutos!C:C,"Sem dados",0,-1),"Sem dados")</f>
        <v>#REF!</v>
      </c>
      <c r="F83" s="15" t="e">
        <f t="shared" si="4"/>
        <v>#REF!</v>
      </c>
      <c r="G83" s="52" t="e">
        <f>C83*Config!$B$2</f>
        <v>#REF!</v>
      </c>
      <c r="H83" s="45" t="e">
        <f t="shared" si="5"/>
        <v>#REF!</v>
      </c>
    </row>
    <row r="84" spans="1:8" x14ac:dyDescent="0.3">
      <c r="A84" s="43">
        <v>83</v>
      </c>
      <c r="B84" s="15" t="e">
        <f>COUNTIF(Dados_Brutos!#REF!,A84)</f>
        <v>#REF!</v>
      </c>
      <c r="C84" s="15" t="e">
        <f>SUMIF(Dados_Brutos!#REF!,A84,Dados_Brutos!E:E)</f>
        <v>#REF!</v>
      </c>
      <c r="D84" s="7" t="e">
        <f>IF(Tabela5[[#This Row],[TURBINAS AFETADAS]]&gt;0, _xlfn.XLOOKUP(Tabela5[[#This Row],[CARREIRA]],Dados_Brutos!#REF!,Dados_Brutos!G:G,"Sem dados",0,-1),"Sem dados")</f>
        <v>#REF!</v>
      </c>
      <c r="E84" s="7" t="e">
        <f>IF(Tabela5[[#This Row],[TURBINAS AFETADAS]]&gt;0, _xlfn.XLOOKUP(Tabela5[[#This Row],[CARREIRA]],Dados_Brutos!#REF!,Dados_Brutos!C:C,"Sem dados",0,-1),"Sem dados")</f>
        <v>#REF!</v>
      </c>
      <c r="F84" s="15" t="e">
        <f t="shared" si="4"/>
        <v>#REF!</v>
      </c>
      <c r="G84" s="52" t="e">
        <f>C84*Config!$B$2</f>
        <v>#REF!</v>
      </c>
      <c r="H84" s="45" t="e">
        <f t="shared" si="5"/>
        <v>#REF!</v>
      </c>
    </row>
    <row r="85" spans="1:8" x14ac:dyDescent="0.3">
      <c r="A85" s="43">
        <v>84</v>
      </c>
      <c r="B85" s="15" t="e">
        <f>COUNTIF(Dados_Brutos!#REF!,A85)</f>
        <v>#REF!</v>
      </c>
      <c r="C85" s="15" t="e">
        <f>SUMIF(Dados_Brutos!#REF!,A85,Dados_Brutos!E:E)</f>
        <v>#REF!</v>
      </c>
      <c r="D85" s="7" t="e">
        <f>IF(Tabela5[[#This Row],[TURBINAS AFETADAS]]&gt;0, _xlfn.XLOOKUP(Tabela5[[#This Row],[CARREIRA]],Dados_Brutos!#REF!,Dados_Brutos!G:G,"Sem dados",0,-1),"Sem dados")</f>
        <v>#REF!</v>
      </c>
      <c r="E85" s="7" t="e">
        <f>IF(Tabela5[[#This Row],[TURBINAS AFETADAS]]&gt;0, _xlfn.XLOOKUP(Tabela5[[#This Row],[CARREIRA]],Dados_Brutos!#REF!,Dados_Brutos!C:C,"Sem dados",0,-1),"Sem dados")</f>
        <v>#REF!</v>
      </c>
      <c r="F85" s="15" t="e">
        <f t="shared" si="4"/>
        <v>#REF!</v>
      </c>
      <c r="G85" s="52" t="e">
        <f>C85*Config!$B$2</f>
        <v>#REF!</v>
      </c>
      <c r="H85" s="45" t="e">
        <f t="shared" si="5"/>
        <v>#REF!</v>
      </c>
    </row>
    <row r="86" spans="1:8" x14ac:dyDescent="0.3">
      <c r="A86" s="43">
        <v>85</v>
      </c>
      <c r="B86" s="15" t="e">
        <f>COUNTIF(Dados_Brutos!#REF!,A86)</f>
        <v>#REF!</v>
      </c>
      <c r="C86" s="15" t="e">
        <f>SUMIF(Dados_Brutos!#REF!,A86,Dados_Brutos!E:E)</f>
        <v>#REF!</v>
      </c>
      <c r="D86" s="7" t="e">
        <f>IF(Tabela5[[#This Row],[TURBINAS AFETADAS]]&gt;0, _xlfn.XLOOKUP(Tabela5[[#This Row],[CARREIRA]],Dados_Brutos!#REF!,Dados_Brutos!G:G,"Sem dados",0,-1),"Sem dados")</f>
        <v>#REF!</v>
      </c>
      <c r="E86" s="7" t="e">
        <f>IF(Tabela5[[#This Row],[TURBINAS AFETADAS]]&gt;0, _xlfn.XLOOKUP(Tabela5[[#This Row],[CARREIRA]],Dados_Brutos!#REF!,Dados_Brutos!C:C,"Sem dados",0,-1),"Sem dados")</f>
        <v>#REF!</v>
      </c>
      <c r="F86" s="15" t="e">
        <f t="shared" si="4"/>
        <v>#REF!</v>
      </c>
      <c r="G86" s="52" t="e">
        <f>C86*Config!$B$2</f>
        <v>#REF!</v>
      </c>
      <c r="H86" s="45" t="e">
        <f t="shared" si="5"/>
        <v>#REF!</v>
      </c>
    </row>
    <row r="87" spans="1:8" x14ac:dyDescent="0.3">
      <c r="A87" s="43">
        <v>86</v>
      </c>
      <c r="B87" s="15" t="e">
        <f>COUNTIF(Dados_Brutos!#REF!,A87)</f>
        <v>#REF!</v>
      </c>
      <c r="C87" s="15" t="e">
        <f>SUMIF(Dados_Brutos!#REF!,A87,Dados_Brutos!E:E)</f>
        <v>#REF!</v>
      </c>
      <c r="D87" s="7" t="e">
        <f>IF(Tabela5[[#This Row],[TURBINAS AFETADAS]]&gt;0, _xlfn.XLOOKUP(Tabela5[[#This Row],[CARREIRA]],Dados_Brutos!#REF!,Dados_Brutos!G:G,"Sem dados",0,-1),"Sem dados")</f>
        <v>#REF!</v>
      </c>
      <c r="E87" s="7" t="e">
        <f>IF(Tabela5[[#This Row],[TURBINAS AFETADAS]]&gt;0, _xlfn.XLOOKUP(Tabela5[[#This Row],[CARREIRA]],Dados_Brutos!#REF!,Dados_Brutos!C:C,"Sem dados",0,-1),"Sem dados")</f>
        <v>#REF!</v>
      </c>
      <c r="F87" s="15" t="e">
        <f t="shared" si="4"/>
        <v>#REF!</v>
      </c>
      <c r="G87" s="52" t="e">
        <f>C87*Config!$B$2</f>
        <v>#REF!</v>
      </c>
      <c r="H87" s="45" t="e">
        <f t="shared" si="5"/>
        <v>#REF!</v>
      </c>
    </row>
    <row r="88" spans="1:8" x14ac:dyDescent="0.3">
      <c r="A88" s="43">
        <v>87</v>
      </c>
      <c r="B88" s="15" t="e">
        <f>COUNTIF(Dados_Brutos!#REF!,A88)</f>
        <v>#REF!</v>
      </c>
      <c r="C88" s="15" t="e">
        <f>SUMIF(Dados_Brutos!#REF!,A88,Dados_Brutos!E:E)</f>
        <v>#REF!</v>
      </c>
      <c r="D88" s="7" t="e">
        <f>IF(Tabela5[[#This Row],[TURBINAS AFETADAS]]&gt;0, _xlfn.XLOOKUP(Tabela5[[#This Row],[CARREIRA]],Dados_Brutos!#REF!,Dados_Brutos!G:G,"Sem dados",0,-1),"Sem dados")</f>
        <v>#REF!</v>
      </c>
      <c r="E88" s="7" t="e">
        <f>IF(Tabela5[[#This Row],[TURBINAS AFETADAS]]&gt;0, _xlfn.XLOOKUP(Tabela5[[#This Row],[CARREIRA]],Dados_Brutos!#REF!,Dados_Brutos!C:C,"Sem dados",0,-1),"Sem dados")</f>
        <v>#REF!</v>
      </c>
      <c r="F88" s="15" t="e">
        <f t="shared" si="4"/>
        <v>#REF!</v>
      </c>
      <c r="G88" s="52" t="e">
        <f>C88*Config!$B$2</f>
        <v>#REF!</v>
      </c>
      <c r="H88" s="45" t="e">
        <f t="shared" si="5"/>
        <v>#REF!</v>
      </c>
    </row>
    <row r="89" spans="1:8" x14ac:dyDescent="0.3">
      <c r="A89" s="43">
        <v>88</v>
      </c>
      <c r="B89" s="15" t="e">
        <f>COUNTIF(Dados_Brutos!#REF!,A89)</f>
        <v>#REF!</v>
      </c>
      <c r="C89" s="15" t="e">
        <f>SUMIF(Dados_Brutos!#REF!,A89,Dados_Brutos!E:E)</f>
        <v>#REF!</v>
      </c>
      <c r="D89" s="7" t="e">
        <f>IF(Tabela5[[#This Row],[TURBINAS AFETADAS]]&gt;0, _xlfn.XLOOKUP(Tabela5[[#This Row],[CARREIRA]],Dados_Brutos!#REF!,Dados_Brutos!G:G,"Sem dados",0,-1),"Sem dados")</f>
        <v>#REF!</v>
      </c>
      <c r="E89" s="7" t="e">
        <f>IF(Tabela5[[#This Row],[TURBINAS AFETADAS]]&gt;0, _xlfn.XLOOKUP(Tabela5[[#This Row],[CARREIRA]],Dados_Brutos!#REF!,Dados_Brutos!C:C,"Sem dados",0,-1),"Sem dados")</f>
        <v>#REF!</v>
      </c>
      <c r="F89" s="15" t="e">
        <f t="shared" si="4"/>
        <v>#REF!</v>
      </c>
      <c r="G89" s="52" t="e">
        <f>C89*Config!$B$2</f>
        <v>#REF!</v>
      </c>
      <c r="H89" s="45" t="e">
        <f t="shared" si="5"/>
        <v>#REF!</v>
      </c>
    </row>
    <row r="90" spans="1:8" x14ac:dyDescent="0.3">
      <c r="A90" s="43">
        <v>89</v>
      </c>
      <c r="B90" s="15" t="e">
        <f>COUNTIF(Dados_Brutos!#REF!,A90)</f>
        <v>#REF!</v>
      </c>
      <c r="C90" s="15" t="e">
        <f>SUMIF(Dados_Brutos!#REF!,A90,Dados_Brutos!E:E)</f>
        <v>#REF!</v>
      </c>
      <c r="D90" s="7" t="e">
        <f>IF(Tabela5[[#This Row],[TURBINAS AFETADAS]]&gt;0, _xlfn.XLOOKUP(Tabela5[[#This Row],[CARREIRA]],Dados_Brutos!#REF!,Dados_Brutos!G:G,"Sem dados",0,-1),"Sem dados")</f>
        <v>#REF!</v>
      </c>
      <c r="E90" s="7" t="e">
        <f>IF(Tabela5[[#This Row],[TURBINAS AFETADAS]]&gt;0, _xlfn.XLOOKUP(Tabela5[[#This Row],[CARREIRA]],Dados_Brutos!#REF!,Dados_Brutos!C:C,"Sem dados",0,-1),"Sem dados")</f>
        <v>#REF!</v>
      </c>
      <c r="F90" s="15" t="e">
        <f t="shared" si="4"/>
        <v>#REF!</v>
      </c>
      <c r="G90" s="52" t="e">
        <f>C90*Config!$B$2</f>
        <v>#REF!</v>
      </c>
      <c r="H90" s="45" t="e">
        <f t="shared" si="5"/>
        <v>#REF!</v>
      </c>
    </row>
    <row r="91" spans="1:8" x14ac:dyDescent="0.3">
      <c r="A91" s="43">
        <v>90</v>
      </c>
      <c r="B91" s="15" t="e">
        <f>COUNTIF(Dados_Brutos!#REF!,A91)</f>
        <v>#REF!</v>
      </c>
      <c r="C91" s="15" t="e">
        <f>SUMIF(Dados_Brutos!#REF!,A91,Dados_Brutos!E:E)</f>
        <v>#REF!</v>
      </c>
      <c r="D91" s="7" t="e">
        <f>IF(Tabela5[[#This Row],[TURBINAS AFETADAS]]&gt;0, _xlfn.XLOOKUP(Tabela5[[#This Row],[CARREIRA]],Dados_Brutos!#REF!,Dados_Brutos!G:G,"Sem dados",0,-1),"Sem dados")</f>
        <v>#REF!</v>
      </c>
      <c r="E91" s="7" t="e">
        <f>IF(Tabela5[[#This Row],[TURBINAS AFETADAS]]&gt;0, _xlfn.XLOOKUP(Tabela5[[#This Row],[CARREIRA]],Dados_Brutos!#REF!,Dados_Brutos!C:C,"Sem dados",0,-1),"Sem dados")</f>
        <v>#REF!</v>
      </c>
      <c r="F91" s="15" t="e">
        <f t="shared" si="4"/>
        <v>#REF!</v>
      </c>
      <c r="G91" s="52" t="e">
        <f>C91*Config!$B$2</f>
        <v>#REF!</v>
      </c>
      <c r="H91" s="45" t="e">
        <f t="shared" si="5"/>
        <v>#REF!</v>
      </c>
    </row>
    <row r="92" spans="1:8" x14ac:dyDescent="0.3">
      <c r="A92" s="43">
        <v>91</v>
      </c>
      <c r="B92" s="15" t="e">
        <f>COUNTIF(Dados_Brutos!#REF!,A92)</f>
        <v>#REF!</v>
      </c>
      <c r="C92" s="15" t="e">
        <f>SUMIF(Dados_Brutos!#REF!,A92,Dados_Brutos!E:E)</f>
        <v>#REF!</v>
      </c>
      <c r="D92" s="7" t="e">
        <f>IF(Tabela5[[#This Row],[TURBINAS AFETADAS]]&gt;0, _xlfn.XLOOKUP(Tabela5[[#This Row],[CARREIRA]],Dados_Brutos!#REF!,Dados_Brutos!G:G,"Sem dados",0,-1),"Sem dados")</f>
        <v>#REF!</v>
      </c>
      <c r="E92" s="7" t="e">
        <f>IF(Tabela5[[#This Row],[TURBINAS AFETADAS]]&gt;0, _xlfn.XLOOKUP(Tabela5[[#This Row],[CARREIRA]],Dados_Brutos!#REF!,Dados_Brutos!C:C,"Sem dados",0,-1),"Sem dados")</f>
        <v>#REF!</v>
      </c>
      <c r="F92" s="15" t="e">
        <f t="shared" si="4"/>
        <v>#REF!</v>
      </c>
      <c r="G92" s="52" t="e">
        <f>C92*Config!$B$2</f>
        <v>#REF!</v>
      </c>
      <c r="H92" s="45" t="e">
        <f t="shared" si="5"/>
        <v>#REF!</v>
      </c>
    </row>
    <row r="93" spans="1:8" x14ac:dyDescent="0.3">
      <c r="A93" s="43">
        <v>92</v>
      </c>
      <c r="B93" s="15" t="e">
        <f>COUNTIF(Dados_Brutos!#REF!,A93)</f>
        <v>#REF!</v>
      </c>
      <c r="C93" s="15" t="e">
        <f>SUMIF(Dados_Brutos!#REF!,A93,Dados_Brutos!E:E)</f>
        <v>#REF!</v>
      </c>
      <c r="D93" s="7" t="e">
        <f>IF(Tabela5[[#This Row],[TURBINAS AFETADAS]]&gt;0, _xlfn.XLOOKUP(Tabela5[[#This Row],[CARREIRA]],Dados_Brutos!#REF!,Dados_Brutos!G:G,"Sem dados",0,-1),"Sem dados")</f>
        <v>#REF!</v>
      </c>
      <c r="E93" s="7" t="e">
        <f>IF(Tabela5[[#This Row],[TURBINAS AFETADAS]]&gt;0, _xlfn.XLOOKUP(Tabela5[[#This Row],[CARREIRA]],Dados_Brutos!#REF!,Dados_Brutos!C:C,"Sem dados",0,-1),"Sem dados")</f>
        <v>#REF!</v>
      </c>
      <c r="F93" s="15" t="e">
        <f t="shared" si="4"/>
        <v>#REF!</v>
      </c>
      <c r="G93" s="52" t="e">
        <f>C93*Config!$B$2</f>
        <v>#REF!</v>
      </c>
      <c r="H93" s="45" t="e">
        <f t="shared" si="5"/>
        <v>#REF!</v>
      </c>
    </row>
    <row r="94" spans="1:8" x14ac:dyDescent="0.3">
      <c r="A94" s="43">
        <v>93</v>
      </c>
      <c r="B94" s="15" t="e">
        <f>COUNTIF(Dados_Brutos!#REF!,A94)</f>
        <v>#REF!</v>
      </c>
      <c r="C94" s="15" t="e">
        <f>SUMIF(Dados_Brutos!#REF!,A94,Dados_Brutos!E:E)</f>
        <v>#REF!</v>
      </c>
      <c r="D94" s="7" t="e">
        <f>IF(Tabela5[[#This Row],[TURBINAS AFETADAS]]&gt;0, _xlfn.XLOOKUP(Tabela5[[#This Row],[CARREIRA]],Dados_Brutos!#REF!,Dados_Brutos!G:G,"Sem dados",0,-1),"Sem dados")</f>
        <v>#REF!</v>
      </c>
      <c r="E94" s="7" t="e">
        <f>IF(Tabela5[[#This Row],[TURBINAS AFETADAS]]&gt;0, _xlfn.XLOOKUP(Tabela5[[#This Row],[CARREIRA]],Dados_Brutos!#REF!,Dados_Brutos!C:C,"Sem dados",0,-1),"Sem dados")</f>
        <v>#REF!</v>
      </c>
      <c r="F94" s="15" t="e">
        <f t="shared" si="4"/>
        <v>#REF!</v>
      </c>
      <c r="G94" s="52" t="e">
        <f>C94*Config!$B$2</f>
        <v>#REF!</v>
      </c>
      <c r="H94" s="45" t="e">
        <f t="shared" si="5"/>
        <v>#REF!</v>
      </c>
    </row>
    <row r="95" spans="1:8" x14ac:dyDescent="0.3">
      <c r="A95" s="43">
        <v>94</v>
      </c>
      <c r="B95" s="15" t="e">
        <f>COUNTIF(Dados_Brutos!#REF!,A95)</f>
        <v>#REF!</v>
      </c>
      <c r="C95" s="15" t="e">
        <f>SUMIF(Dados_Brutos!#REF!,A95,Dados_Brutos!E:E)</f>
        <v>#REF!</v>
      </c>
      <c r="D95" s="7" t="e">
        <f>IF(Tabela5[[#This Row],[TURBINAS AFETADAS]]&gt;0, _xlfn.XLOOKUP(Tabela5[[#This Row],[CARREIRA]],Dados_Brutos!#REF!,Dados_Brutos!G:G,"Sem dados",0,-1),"Sem dados")</f>
        <v>#REF!</v>
      </c>
      <c r="E95" s="7" t="e">
        <f>IF(Tabela5[[#This Row],[TURBINAS AFETADAS]]&gt;0, _xlfn.XLOOKUP(Tabela5[[#This Row],[CARREIRA]],Dados_Brutos!#REF!,Dados_Brutos!C:C,"Sem dados",0,-1),"Sem dados")</f>
        <v>#REF!</v>
      </c>
      <c r="F95" s="15" t="e">
        <f t="shared" si="4"/>
        <v>#REF!</v>
      </c>
      <c r="G95" s="52" t="e">
        <f>C95*Config!$B$2</f>
        <v>#REF!</v>
      </c>
      <c r="H95" s="45" t="e">
        <f t="shared" si="5"/>
        <v>#REF!</v>
      </c>
    </row>
    <row r="96" spans="1:8" x14ac:dyDescent="0.3">
      <c r="A96" s="43">
        <v>95</v>
      </c>
      <c r="B96" s="15" t="e">
        <f>COUNTIF(Dados_Brutos!#REF!,A96)</f>
        <v>#REF!</v>
      </c>
      <c r="C96" s="15" t="e">
        <f>SUMIF(Dados_Brutos!#REF!,A96,Dados_Brutos!E:E)</f>
        <v>#REF!</v>
      </c>
      <c r="D96" s="7" t="e">
        <f>IF(Tabela5[[#This Row],[TURBINAS AFETADAS]]&gt;0, _xlfn.XLOOKUP(Tabela5[[#This Row],[CARREIRA]],Dados_Brutos!#REF!,Dados_Brutos!G:G,"Sem dados",0,-1),"Sem dados")</f>
        <v>#REF!</v>
      </c>
      <c r="E96" s="7" t="e">
        <f>IF(Tabela5[[#This Row],[TURBINAS AFETADAS]]&gt;0, _xlfn.XLOOKUP(Tabela5[[#This Row],[CARREIRA]],Dados_Brutos!#REF!,Dados_Brutos!C:C,"Sem dados",0,-1),"Sem dados")</f>
        <v>#REF!</v>
      </c>
      <c r="F96" s="15" t="e">
        <f t="shared" si="4"/>
        <v>#REF!</v>
      </c>
      <c r="G96" s="52" t="e">
        <f>C96*Config!$B$2</f>
        <v>#REF!</v>
      </c>
      <c r="H96" s="45" t="e">
        <f t="shared" si="5"/>
        <v>#REF!</v>
      </c>
    </row>
    <row r="97" spans="1:8" x14ac:dyDescent="0.3">
      <c r="A97" s="43">
        <v>96</v>
      </c>
      <c r="B97" s="15" t="e">
        <f>COUNTIF(Dados_Brutos!#REF!,A97)</f>
        <v>#REF!</v>
      </c>
      <c r="C97" s="15" t="e">
        <f>SUMIF(Dados_Brutos!#REF!,A97,Dados_Brutos!E:E)</f>
        <v>#REF!</v>
      </c>
      <c r="D97" s="7" t="e">
        <f>IF(Tabela5[[#This Row],[TURBINAS AFETADAS]]&gt;0, _xlfn.XLOOKUP(Tabela5[[#This Row],[CARREIRA]],Dados_Brutos!#REF!,Dados_Brutos!G:G,"Sem dados",0,-1),"Sem dados")</f>
        <v>#REF!</v>
      </c>
      <c r="E97" s="7" t="e">
        <f>IF(Tabela5[[#This Row],[TURBINAS AFETADAS]]&gt;0, _xlfn.XLOOKUP(Tabela5[[#This Row],[CARREIRA]],Dados_Brutos!#REF!,Dados_Brutos!C:C,"Sem dados",0,-1),"Sem dados")</f>
        <v>#REF!</v>
      </c>
      <c r="F97" s="15" t="e">
        <f t="shared" si="4"/>
        <v>#REF!</v>
      </c>
      <c r="G97" s="52" t="e">
        <f>C97*Config!$B$2</f>
        <v>#REF!</v>
      </c>
      <c r="H97" s="45" t="e">
        <f t="shared" si="5"/>
        <v>#REF!</v>
      </c>
    </row>
    <row r="98" spans="1:8" x14ac:dyDescent="0.3">
      <c r="A98" s="43">
        <v>97</v>
      </c>
      <c r="B98" s="15" t="e">
        <f>COUNTIF(Dados_Brutos!#REF!,A98)</f>
        <v>#REF!</v>
      </c>
      <c r="C98" s="15" t="e">
        <f>SUMIF(Dados_Brutos!#REF!,A98,Dados_Brutos!E:E)</f>
        <v>#REF!</v>
      </c>
      <c r="D98" s="7" t="e">
        <f>IF(Tabela5[[#This Row],[TURBINAS AFETADAS]]&gt;0, _xlfn.XLOOKUP(Tabela5[[#This Row],[CARREIRA]],Dados_Brutos!#REF!,Dados_Brutos!G:G,"Sem dados",0,-1),"Sem dados")</f>
        <v>#REF!</v>
      </c>
      <c r="E98" s="7" t="e">
        <f>IF(Tabela5[[#This Row],[TURBINAS AFETADAS]]&gt;0, _xlfn.XLOOKUP(Tabela5[[#This Row],[CARREIRA]],Dados_Brutos!#REF!,Dados_Brutos!C:C,"Sem dados",0,-1),"Sem dados")</f>
        <v>#REF!</v>
      </c>
      <c r="F98" s="15" t="e">
        <f t="shared" si="4"/>
        <v>#REF!</v>
      </c>
      <c r="G98" s="52" t="e">
        <f>C98*Config!$B$2</f>
        <v>#REF!</v>
      </c>
      <c r="H98" s="45" t="e">
        <f t="shared" si="5"/>
        <v>#REF!</v>
      </c>
    </row>
    <row r="99" spans="1:8" x14ac:dyDescent="0.3">
      <c r="A99" s="43">
        <v>98</v>
      </c>
      <c r="B99" s="15" t="e">
        <f>COUNTIF(Dados_Brutos!#REF!,A99)</f>
        <v>#REF!</v>
      </c>
      <c r="C99" s="15" t="e">
        <f>SUMIF(Dados_Brutos!#REF!,A99,Dados_Brutos!E:E)</f>
        <v>#REF!</v>
      </c>
      <c r="D99" s="7" t="e">
        <f>IF(Tabela5[[#This Row],[TURBINAS AFETADAS]]&gt;0, _xlfn.XLOOKUP(Tabela5[[#This Row],[CARREIRA]],Dados_Brutos!#REF!,Dados_Brutos!G:G,"Sem dados",0,-1),"Sem dados")</f>
        <v>#REF!</v>
      </c>
      <c r="E99" s="7" t="e">
        <f>IF(Tabela5[[#This Row],[TURBINAS AFETADAS]]&gt;0, _xlfn.XLOOKUP(Tabela5[[#This Row],[CARREIRA]],Dados_Brutos!#REF!,Dados_Brutos!C:C,"Sem dados",0,-1),"Sem dados")</f>
        <v>#REF!</v>
      </c>
      <c r="F99" s="15" t="e">
        <f t="shared" si="4"/>
        <v>#REF!</v>
      </c>
      <c r="G99" s="52" t="e">
        <f>C99*Config!$B$2</f>
        <v>#REF!</v>
      </c>
      <c r="H99" s="45" t="e">
        <f t="shared" si="5"/>
        <v>#REF!</v>
      </c>
    </row>
    <row r="100" spans="1:8" x14ac:dyDescent="0.3">
      <c r="A100" s="43">
        <v>99</v>
      </c>
      <c r="B100" s="15" t="e">
        <f>COUNTIF(Dados_Brutos!#REF!,A100)</f>
        <v>#REF!</v>
      </c>
      <c r="C100" s="15" t="e">
        <f>SUMIF(Dados_Brutos!#REF!,A100,Dados_Brutos!E:E)</f>
        <v>#REF!</v>
      </c>
      <c r="D100" s="7" t="e">
        <f>IF(Tabela5[[#This Row],[TURBINAS AFETADAS]]&gt;0, _xlfn.XLOOKUP(Tabela5[[#This Row],[CARREIRA]],Dados_Brutos!#REF!,Dados_Brutos!G:G,"Sem dados",0,-1),"Sem dados")</f>
        <v>#REF!</v>
      </c>
      <c r="E100" s="7" t="e">
        <f>IF(Tabela5[[#This Row],[TURBINAS AFETADAS]]&gt;0, _xlfn.XLOOKUP(Tabela5[[#This Row],[CARREIRA]],Dados_Brutos!#REF!,Dados_Brutos!C:C,"Sem dados",0,-1),"Sem dados")</f>
        <v>#REF!</v>
      </c>
      <c r="F100" s="15" t="e">
        <f t="shared" si="4"/>
        <v>#REF!</v>
      </c>
      <c r="G100" s="52" t="e">
        <f>C100*Config!$B$2</f>
        <v>#REF!</v>
      </c>
      <c r="H100" s="45" t="e">
        <f t="shared" si="5"/>
        <v>#REF!</v>
      </c>
    </row>
    <row r="101" spans="1:8" x14ac:dyDescent="0.3">
      <c r="A101" s="43">
        <v>100</v>
      </c>
      <c r="B101" s="15" t="e">
        <f>COUNTIF(Dados_Brutos!#REF!,A101)</f>
        <v>#REF!</v>
      </c>
      <c r="C101" s="15" t="e">
        <f>SUMIF(Dados_Brutos!#REF!,A101,Dados_Brutos!E:E)</f>
        <v>#REF!</v>
      </c>
      <c r="D101" s="7" t="e">
        <f>IF(Tabela5[[#This Row],[TURBINAS AFETADAS]]&gt;0, _xlfn.XLOOKUP(Tabela5[[#This Row],[CARREIRA]],Dados_Brutos!#REF!,Dados_Brutos!G:G,"Sem dados",0,-1),"Sem dados")</f>
        <v>#REF!</v>
      </c>
      <c r="E101" s="7" t="e">
        <f>IF(Tabela5[[#This Row],[TURBINAS AFETADAS]]&gt;0, _xlfn.XLOOKUP(Tabela5[[#This Row],[CARREIRA]],Dados_Brutos!#REF!,Dados_Brutos!C:C,"Sem dados",0,-1),"Sem dados")</f>
        <v>#REF!</v>
      </c>
      <c r="F101" s="15" t="e">
        <f t="shared" ref="F101:F121" si="6">IF(AND(B101&gt;5,C101&gt;20),"🔴 ALTA",IF(AND(B101&gt;3,C101&gt;10),"🟡 MÉDIA","🟢 BAIXA"))</f>
        <v>#REF!</v>
      </c>
      <c r="G101" s="52" t="e">
        <f>C101*Config!$B$2</f>
        <v>#REF!</v>
      </c>
      <c r="H101" s="45" t="e">
        <f t="shared" ref="H101:H121" si="7">IF(B101&gt;0,C101/B101,0)</f>
        <v>#REF!</v>
      </c>
    </row>
    <row r="102" spans="1:8" x14ac:dyDescent="0.3">
      <c r="A102" s="43">
        <v>101</v>
      </c>
      <c r="B102" s="15" t="e">
        <f>COUNTIF(Dados_Brutos!#REF!,A102)</f>
        <v>#REF!</v>
      </c>
      <c r="C102" s="15" t="e">
        <f>SUMIF(Dados_Brutos!#REF!,A102,Dados_Brutos!E:E)</f>
        <v>#REF!</v>
      </c>
      <c r="D102" s="7" t="e">
        <f>IF(Tabela5[[#This Row],[TURBINAS AFETADAS]]&gt;0, _xlfn.XLOOKUP(Tabela5[[#This Row],[CARREIRA]],Dados_Brutos!#REF!,Dados_Brutos!G:G,"Sem dados",0,-1),"Sem dados")</f>
        <v>#REF!</v>
      </c>
      <c r="E102" s="7" t="e">
        <f>IF(Tabela5[[#This Row],[TURBINAS AFETADAS]]&gt;0, _xlfn.XLOOKUP(Tabela5[[#This Row],[CARREIRA]],Dados_Brutos!#REF!,Dados_Brutos!C:C,"Sem dados",0,-1),"Sem dados")</f>
        <v>#REF!</v>
      </c>
      <c r="F102" s="15" t="e">
        <f t="shared" si="6"/>
        <v>#REF!</v>
      </c>
      <c r="G102" s="52" t="e">
        <f>C102*Config!$B$2</f>
        <v>#REF!</v>
      </c>
      <c r="H102" s="45" t="e">
        <f t="shared" si="7"/>
        <v>#REF!</v>
      </c>
    </row>
    <row r="103" spans="1:8" x14ac:dyDescent="0.3">
      <c r="A103" s="43">
        <v>102</v>
      </c>
      <c r="B103" s="15" t="e">
        <f>COUNTIF(Dados_Brutos!#REF!,A103)</f>
        <v>#REF!</v>
      </c>
      <c r="C103" s="15" t="e">
        <f>SUMIF(Dados_Brutos!#REF!,A103,Dados_Brutos!E:E)</f>
        <v>#REF!</v>
      </c>
      <c r="D103" s="7" t="e">
        <f>IF(Tabela5[[#This Row],[TURBINAS AFETADAS]]&gt;0, _xlfn.XLOOKUP(Tabela5[[#This Row],[CARREIRA]],Dados_Brutos!#REF!,Dados_Brutos!G:G,"Sem dados",0,-1),"Sem dados")</f>
        <v>#REF!</v>
      </c>
      <c r="E103" s="7" t="e">
        <f>IF(Tabela5[[#This Row],[TURBINAS AFETADAS]]&gt;0, _xlfn.XLOOKUP(Tabela5[[#This Row],[CARREIRA]],Dados_Brutos!#REF!,Dados_Brutos!C:C,"Sem dados",0,-1),"Sem dados")</f>
        <v>#REF!</v>
      </c>
      <c r="F103" s="15" t="e">
        <f t="shared" si="6"/>
        <v>#REF!</v>
      </c>
      <c r="G103" s="52" t="e">
        <f>C103*Config!$B$2</f>
        <v>#REF!</v>
      </c>
      <c r="H103" s="45" t="e">
        <f t="shared" si="7"/>
        <v>#REF!</v>
      </c>
    </row>
    <row r="104" spans="1:8" x14ac:dyDescent="0.3">
      <c r="A104" s="43">
        <v>103</v>
      </c>
      <c r="B104" s="15" t="e">
        <f>COUNTIF(Dados_Brutos!#REF!,A104)</f>
        <v>#REF!</v>
      </c>
      <c r="C104" s="15" t="e">
        <f>SUMIF(Dados_Brutos!#REF!,A104,Dados_Brutos!E:E)</f>
        <v>#REF!</v>
      </c>
      <c r="D104" s="7" t="e">
        <f>IF(Tabela5[[#This Row],[TURBINAS AFETADAS]]&gt;0, _xlfn.XLOOKUP(Tabela5[[#This Row],[CARREIRA]],Dados_Brutos!#REF!,Dados_Brutos!G:G,"Sem dados",0,-1),"Sem dados")</f>
        <v>#REF!</v>
      </c>
      <c r="E104" s="7" t="e">
        <f>IF(Tabela5[[#This Row],[TURBINAS AFETADAS]]&gt;0, _xlfn.XLOOKUP(Tabela5[[#This Row],[CARREIRA]],Dados_Brutos!#REF!,Dados_Brutos!C:C,"Sem dados",0,-1),"Sem dados")</f>
        <v>#REF!</v>
      </c>
      <c r="F104" s="15" t="e">
        <f t="shared" si="6"/>
        <v>#REF!</v>
      </c>
      <c r="G104" s="52" t="e">
        <f>C104*Config!$B$2</f>
        <v>#REF!</v>
      </c>
      <c r="H104" s="45" t="e">
        <f t="shared" si="7"/>
        <v>#REF!</v>
      </c>
    </row>
    <row r="105" spans="1:8" x14ac:dyDescent="0.3">
      <c r="A105" s="43">
        <v>104</v>
      </c>
      <c r="B105" s="15" t="e">
        <f>COUNTIF(Dados_Brutos!#REF!,A105)</f>
        <v>#REF!</v>
      </c>
      <c r="C105" s="15" t="e">
        <f>SUMIF(Dados_Brutos!#REF!,A105,Dados_Brutos!E:E)</f>
        <v>#REF!</v>
      </c>
      <c r="D105" s="7" t="e">
        <f>IF(Tabela5[[#This Row],[TURBINAS AFETADAS]]&gt;0, _xlfn.XLOOKUP(Tabela5[[#This Row],[CARREIRA]],Dados_Brutos!#REF!,Dados_Brutos!G:G,"Sem dados",0,-1),"Sem dados")</f>
        <v>#REF!</v>
      </c>
      <c r="E105" s="7" t="e">
        <f>IF(Tabela5[[#This Row],[TURBINAS AFETADAS]]&gt;0, _xlfn.XLOOKUP(Tabela5[[#This Row],[CARREIRA]],Dados_Brutos!#REF!,Dados_Brutos!C:C,"Sem dados",0,-1),"Sem dados")</f>
        <v>#REF!</v>
      </c>
      <c r="F105" s="15" t="e">
        <f t="shared" si="6"/>
        <v>#REF!</v>
      </c>
      <c r="G105" s="52" t="e">
        <f>C105*Config!$B$2</f>
        <v>#REF!</v>
      </c>
      <c r="H105" s="45" t="e">
        <f t="shared" si="7"/>
        <v>#REF!</v>
      </c>
    </row>
    <row r="106" spans="1:8" x14ac:dyDescent="0.3">
      <c r="A106" s="43">
        <v>105</v>
      </c>
      <c r="B106" s="15" t="e">
        <f>COUNTIF(Dados_Brutos!#REF!,A106)</f>
        <v>#REF!</v>
      </c>
      <c r="C106" s="15" t="e">
        <f>SUMIF(Dados_Brutos!#REF!,A106,Dados_Brutos!E:E)</f>
        <v>#REF!</v>
      </c>
      <c r="D106" s="7" t="e">
        <f>IF(Tabela5[[#This Row],[TURBINAS AFETADAS]]&gt;0, _xlfn.XLOOKUP(Tabela5[[#This Row],[CARREIRA]],Dados_Brutos!#REF!,Dados_Brutos!G:G,"Sem dados",0,-1),"Sem dados")</f>
        <v>#REF!</v>
      </c>
      <c r="E106" s="7" t="e">
        <f>IF(Tabela5[[#This Row],[TURBINAS AFETADAS]]&gt;0, _xlfn.XLOOKUP(Tabela5[[#This Row],[CARREIRA]],Dados_Brutos!#REF!,Dados_Brutos!C:C,"Sem dados",0,-1),"Sem dados")</f>
        <v>#REF!</v>
      </c>
      <c r="F106" s="15" t="e">
        <f t="shared" si="6"/>
        <v>#REF!</v>
      </c>
      <c r="G106" s="52" t="e">
        <f>C106*Config!$B$2</f>
        <v>#REF!</v>
      </c>
      <c r="H106" s="45" t="e">
        <f t="shared" si="7"/>
        <v>#REF!</v>
      </c>
    </row>
    <row r="107" spans="1:8" x14ac:dyDescent="0.3">
      <c r="A107" s="43">
        <v>106</v>
      </c>
      <c r="B107" s="15" t="e">
        <f>COUNTIF(Dados_Brutos!#REF!,A107)</f>
        <v>#REF!</v>
      </c>
      <c r="C107" s="15" t="e">
        <f>SUMIF(Dados_Brutos!#REF!,A107,Dados_Brutos!E:E)</f>
        <v>#REF!</v>
      </c>
      <c r="D107" s="7" t="e">
        <f>IF(Tabela5[[#This Row],[TURBINAS AFETADAS]]&gt;0, _xlfn.XLOOKUP(Tabela5[[#This Row],[CARREIRA]],Dados_Brutos!#REF!,Dados_Brutos!G:G,"Sem dados",0,-1),"Sem dados")</f>
        <v>#REF!</v>
      </c>
      <c r="E107" s="7" t="e">
        <f>IF(Tabela5[[#This Row],[TURBINAS AFETADAS]]&gt;0, _xlfn.XLOOKUP(Tabela5[[#This Row],[CARREIRA]],Dados_Brutos!#REF!,Dados_Brutos!C:C,"Sem dados",0,-1),"Sem dados")</f>
        <v>#REF!</v>
      </c>
      <c r="F107" s="15" t="e">
        <f t="shared" si="6"/>
        <v>#REF!</v>
      </c>
      <c r="G107" s="52" t="e">
        <f>C107*Config!$B$2</f>
        <v>#REF!</v>
      </c>
      <c r="H107" s="45" t="e">
        <f t="shared" si="7"/>
        <v>#REF!</v>
      </c>
    </row>
    <row r="108" spans="1:8" x14ac:dyDescent="0.3">
      <c r="A108" s="43">
        <v>107</v>
      </c>
      <c r="B108" s="15" t="e">
        <f>COUNTIF(Dados_Brutos!#REF!,A108)</f>
        <v>#REF!</v>
      </c>
      <c r="C108" s="15" t="e">
        <f>SUMIF(Dados_Brutos!#REF!,A108,Dados_Brutos!E:E)</f>
        <v>#REF!</v>
      </c>
      <c r="D108" s="7" t="e">
        <f>IF(Tabela5[[#This Row],[TURBINAS AFETADAS]]&gt;0, _xlfn.XLOOKUP(Tabela5[[#This Row],[CARREIRA]],Dados_Brutos!#REF!,Dados_Brutos!G:G,"Sem dados",0,-1),"Sem dados")</f>
        <v>#REF!</v>
      </c>
      <c r="E108" s="7" t="e">
        <f>IF(Tabela5[[#This Row],[TURBINAS AFETADAS]]&gt;0, _xlfn.XLOOKUP(Tabela5[[#This Row],[CARREIRA]],Dados_Brutos!#REF!,Dados_Brutos!C:C,"Sem dados",0,-1),"Sem dados")</f>
        <v>#REF!</v>
      </c>
      <c r="F108" s="15" t="e">
        <f t="shared" si="6"/>
        <v>#REF!</v>
      </c>
      <c r="G108" s="52" t="e">
        <f>C108*Config!$B$2</f>
        <v>#REF!</v>
      </c>
      <c r="H108" s="45" t="e">
        <f t="shared" si="7"/>
        <v>#REF!</v>
      </c>
    </row>
    <row r="109" spans="1:8" x14ac:dyDescent="0.3">
      <c r="A109" s="43">
        <v>108</v>
      </c>
      <c r="B109" s="15" t="e">
        <f>COUNTIF(Dados_Brutos!#REF!,A109)</f>
        <v>#REF!</v>
      </c>
      <c r="C109" s="15" t="e">
        <f>SUMIF(Dados_Brutos!#REF!,A109,Dados_Brutos!E:E)</f>
        <v>#REF!</v>
      </c>
      <c r="D109" s="7" t="e">
        <f>IF(Tabela5[[#This Row],[TURBINAS AFETADAS]]&gt;0, _xlfn.XLOOKUP(Tabela5[[#This Row],[CARREIRA]],Dados_Brutos!#REF!,Dados_Brutos!G:G,"Sem dados",0,-1),"Sem dados")</f>
        <v>#REF!</v>
      </c>
      <c r="E109" s="7" t="e">
        <f>IF(Tabela5[[#This Row],[TURBINAS AFETADAS]]&gt;0, _xlfn.XLOOKUP(Tabela5[[#This Row],[CARREIRA]],Dados_Brutos!#REF!,Dados_Brutos!C:C,"Sem dados",0,-1),"Sem dados")</f>
        <v>#REF!</v>
      </c>
      <c r="F109" s="15" t="e">
        <f t="shared" si="6"/>
        <v>#REF!</v>
      </c>
      <c r="G109" s="52" t="e">
        <f>C109*Config!$B$2</f>
        <v>#REF!</v>
      </c>
      <c r="H109" s="45" t="e">
        <f t="shared" si="7"/>
        <v>#REF!</v>
      </c>
    </row>
    <row r="110" spans="1:8" x14ac:dyDescent="0.3">
      <c r="A110" s="43">
        <v>109</v>
      </c>
      <c r="B110" s="15" t="e">
        <f>COUNTIF(Dados_Brutos!#REF!,A110)</f>
        <v>#REF!</v>
      </c>
      <c r="C110" s="15" t="e">
        <f>SUMIF(Dados_Brutos!#REF!,A110,Dados_Brutos!E:E)</f>
        <v>#REF!</v>
      </c>
      <c r="D110" s="7" t="e">
        <f>IF(Tabela5[[#This Row],[TURBINAS AFETADAS]]&gt;0, _xlfn.XLOOKUP(Tabela5[[#This Row],[CARREIRA]],Dados_Brutos!#REF!,Dados_Brutos!G:G,"Sem dados",0,-1),"Sem dados")</f>
        <v>#REF!</v>
      </c>
      <c r="E110" s="7" t="e">
        <f>IF(Tabela5[[#This Row],[TURBINAS AFETADAS]]&gt;0, _xlfn.XLOOKUP(Tabela5[[#This Row],[CARREIRA]],Dados_Brutos!#REF!,Dados_Brutos!C:C,"Sem dados",0,-1),"Sem dados")</f>
        <v>#REF!</v>
      </c>
      <c r="F110" s="15" t="e">
        <f t="shared" si="6"/>
        <v>#REF!</v>
      </c>
      <c r="G110" s="52" t="e">
        <f>C110*Config!$B$2</f>
        <v>#REF!</v>
      </c>
      <c r="H110" s="45" t="e">
        <f t="shared" si="7"/>
        <v>#REF!</v>
      </c>
    </row>
    <row r="111" spans="1:8" x14ac:dyDescent="0.3">
      <c r="A111" s="43">
        <v>110</v>
      </c>
      <c r="B111" s="15" t="e">
        <f>COUNTIF(Dados_Brutos!#REF!,A111)</f>
        <v>#REF!</v>
      </c>
      <c r="C111" s="15" t="e">
        <f>SUMIF(Dados_Brutos!#REF!,A111,Dados_Brutos!E:E)</f>
        <v>#REF!</v>
      </c>
      <c r="D111" s="7" t="e">
        <f>IF(Tabela5[[#This Row],[TURBINAS AFETADAS]]&gt;0, _xlfn.XLOOKUP(Tabela5[[#This Row],[CARREIRA]],Dados_Brutos!#REF!,Dados_Brutos!G:G,"Sem dados",0,-1),"Sem dados")</f>
        <v>#REF!</v>
      </c>
      <c r="E111" s="7" t="e">
        <f>IF(Tabela5[[#This Row],[TURBINAS AFETADAS]]&gt;0, _xlfn.XLOOKUP(Tabela5[[#This Row],[CARREIRA]],Dados_Brutos!#REF!,Dados_Brutos!C:C,"Sem dados",0,-1),"Sem dados")</f>
        <v>#REF!</v>
      </c>
      <c r="F111" s="15" t="e">
        <f t="shared" si="6"/>
        <v>#REF!</v>
      </c>
      <c r="G111" s="52" t="e">
        <f>C111*Config!$B$2</f>
        <v>#REF!</v>
      </c>
      <c r="H111" s="45" t="e">
        <f t="shared" si="7"/>
        <v>#REF!</v>
      </c>
    </row>
    <row r="112" spans="1:8" x14ac:dyDescent="0.3">
      <c r="A112" s="43">
        <v>111</v>
      </c>
      <c r="B112" s="15" t="e">
        <f>COUNTIF(Dados_Brutos!#REF!,A112)</f>
        <v>#REF!</v>
      </c>
      <c r="C112" s="15" t="e">
        <f>SUMIF(Dados_Brutos!#REF!,A112,Dados_Brutos!E:E)</f>
        <v>#REF!</v>
      </c>
      <c r="D112" s="7" t="e">
        <f>IF(Tabela5[[#This Row],[TURBINAS AFETADAS]]&gt;0, _xlfn.XLOOKUP(Tabela5[[#This Row],[CARREIRA]],Dados_Brutos!#REF!,Dados_Brutos!G:G,"Sem dados",0,-1),"Sem dados")</f>
        <v>#REF!</v>
      </c>
      <c r="E112" s="7" t="e">
        <f>IF(Tabela5[[#This Row],[TURBINAS AFETADAS]]&gt;0, _xlfn.XLOOKUP(Tabela5[[#This Row],[CARREIRA]],Dados_Brutos!#REF!,Dados_Brutos!C:C,"Sem dados",0,-1),"Sem dados")</f>
        <v>#REF!</v>
      </c>
      <c r="F112" s="15" t="e">
        <f t="shared" si="6"/>
        <v>#REF!</v>
      </c>
      <c r="G112" s="52" t="e">
        <f>C112*Config!$B$2</f>
        <v>#REF!</v>
      </c>
      <c r="H112" s="45" t="e">
        <f t="shared" si="7"/>
        <v>#REF!</v>
      </c>
    </row>
    <row r="113" spans="1:8" x14ac:dyDescent="0.3">
      <c r="A113" s="43">
        <v>112</v>
      </c>
      <c r="B113" s="15" t="e">
        <f>COUNTIF(Dados_Brutos!#REF!,A113)</f>
        <v>#REF!</v>
      </c>
      <c r="C113" s="15" t="e">
        <f>SUMIF(Dados_Brutos!#REF!,A113,Dados_Brutos!E:E)</f>
        <v>#REF!</v>
      </c>
      <c r="D113" s="7" t="e">
        <f>IF(Tabela5[[#This Row],[TURBINAS AFETADAS]]&gt;0, _xlfn.XLOOKUP(Tabela5[[#This Row],[CARREIRA]],Dados_Brutos!#REF!,Dados_Brutos!G:G,"Sem dados",0,-1),"Sem dados")</f>
        <v>#REF!</v>
      </c>
      <c r="E113" s="7" t="e">
        <f>IF(Tabela5[[#This Row],[TURBINAS AFETADAS]]&gt;0, _xlfn.XLOOKUP(Tabela5[[#This Row],[CARREIRA]],Dados_Brutos!#REF!,Dados_Brutos!C:C,"Sem dados",0,-1),"Sem dados")</f>
        <v>#REF!</v>
      </c>
      <c r="F113" s="15" t="e">
        <f t="shared" si="6"/>
        <v>#REF!</v>
      </c>
      <c r="G113" s="52" t="e">
        <f>C113*Config!$B$2</f>
        <v>#REF!</v>
      </c>
      <c r="H113" s="45" t="e">
        <f t="shared" si="7"/>
        <v>#REF!</v>
      </c>
    </row>
    <row r="114" spans="1:8" x14ac:dyDescent="0.3">
      <c r="A114" s="43">
        <v>113</v>
      </c>
      <c r="B114" s="15" t="e">
        <f>COUNTIF(Dados_Brutos!#REF!,A114)</f>
        <v>#REF!</v>
      </c>
      <c r="C114" s="15" t="e">
        <f>SUMIF(Dados_Brutos!#REF!,A114,Dados_Brutos!E:E)</f>
        <v>#REF!</v>
      </c>
      <c r="D114" s="7" t="e">
        <f>IF(Tabela5[[#This Row],[TURBINAS AFETADAS]]&gt;0, _xlfn.XLOOKUP(Tabela5[[#This Row],[CARREIRA]],Dados_Brutos!#REF!,Dados_Brutos!G:G,"Sem dados",0,-1),"Sem dados")</f>
        <v>#REF!</v>
      </c>
      <c r="E114" s="7" t="e">
        <f>IF(Tabela5[[#This Row],[TURBINAS AFETADAS]]&gt;0, _xlfn.XLOOKUP(Tabela5[[#This Row],[CARREIRA]],Dados_Brutos!#REF!,Dados_Brutos!C:C,"Sem dados",0,-1),"Sem dados")</f>
        <v>#REF!</v>
      </c>
      <c r="F114" s="15" t="e">
        <f t="shared" si="6"/>
        <v>#REF!</v>
      </c>
      <c r="G114" s="52" t="e">
        <f>C114*Config!$B$2</f>
        <v>#REF!</v>
      </c>
      <c r="H114" s="45" t="e">
        <f t="shared" si="7"/>
        <v>#REF!</v>
      </c>
    </row>
    <row r="115" spans="1:8" x14ac:dyDescent="0.3">
      <c r="A115" s="43">
        <v>114</v>
      </c>
      <c r="B115" s="15" t="e">
        <f>COUNTIF(Dados_Brutos!#REF!,A115)</f>
        <v>#REF!</v>
      </c>
      <c r="C115" s="15" t="e">
        <f>SUMIF(Dados_Brutos!#REF!,A115,Dados_Brutos!E:E)</f>
        <v>#REF!</v>
      </c>
      <c r="D115" s="7" t="e">
        <f>IF(Tabela5[[#This Row],[TURBINAS AFETADAS]]&gt;0, _xlfn.XLOOKUP(Tabela5[[#This Row],[CARREIRA]],Dados_Brutos!#REF!,Dados_Brutos!G:G,"Sem dados",0,-1),"Sem dados")</f>
        <v>#REF!</v>
      </c>
      <c r="E115" s="7" t="e">
        <f>IF(Tabela5[[#This Row],[TURBINAS AFETADAS]]&gt;0, _xlfn.XLOOKUP(Tabela5[[#This Row],[CARREIRA]],Dados_Brutos!#REF!,Dados_Brutos!C:C,"Sem dados",0,-1),"Sem dados")</f>
        <v>#REF!</v>
      </c>
      <c r="F115" s="15" t="e">
        <f t="shared" si="6"/>
        <v>#REF!</v>
      </c>
      <c r="G115" s="52" t="e">
        <f>C115*Config!$B$2</f>
        <v>#REF!</v>
      </c>
      <c r="H115" s="45" t="e">
        <f t="shared" si="7"/>
        <v>#REF!</v>
      </c>
    </row>
    <row r="116" spans="1:8" x14ac:dyDescent="0.3">
      <c r="A116" s="43">
        <v>115</v>
      </c>
      <c r="B116" s="15" t="e">
        <f>COUNTIF(Dados_Brutos!#REF!,A116)</f>
        <v>#REF!</v>
      </c>
      <c r="C116" s="15" t="e">
        <f>SUMIF(Dados_Brutos!#REF!,A116,Dados_Brutos!E:E)</f>
        <v>#REF!</v>
      </c>
      <c r="D116" s="7" t="e">
        <f>IF(Tabela5[[#This Row],[TURBINAS AFETADAS]]&gt;0, _xlfn.XLOOKUP(Tabela5[[#This Row],[CARREIRA]],Dados_Brutos!#REF!,Dados_Brutos!G:G,"Sem dados",0,-1),"Sem dados")</f>
        <v>#REF!</v>
      </c>
      <c r="E116" s="7" t="e">
        <f>IF(Tabela5[[#This Row],[TURBINAS AFETADAS]]&gt;0, _xlfn.XLOOKUP(Tabela5[[#This Row],[CARREIRA]],Dados_Brutos!#REF!,Dados_Brutos!C:C,"Sem dados",0,-1),"Sem dados")</f>
        <v>#REF!</v>
      </c>
      <c r="F116" s="15" t="e">
        <f t="shared" si="6"/>
        <v>#REF!</v>
      </c>
      <c r="G116" s="52" t="e">
        <f>C116*Config!$B$2</f>
        <v>#REF!</v>
      </c>
      <c r="H116" s="45" t="e">
        <f t="shared" si="7"/>
        <v>#REF!</v>
      </c>
    </row>
    <row r="117" spans="1:8" x14ac:dyDescent="0.3">
      <c r="A117" s="43">
        <v>116</v>
      </c>
      <c r="B117" s="15" t="e">
        <f>COUNTIF(Dados_Brutos!#REF!,A117)</f>
        <v>#REF!</v>
      </c>
      <c r="C117" s="15" t="e">
        <f>SUMIF(Dados_Brutos!#REF!,A117,Dados_Brutos!E:E)</f>
        <v>#REF!</v>
      </c>
      <c r="D117" s="7" t="e">
        <f>IF(Tabela5[[#This Row],[TURBINAS AFETADAS]]&gt;0, _xlfn.XLOOKUP(Tabela5[[#This Row],[CARREIRA]],Dados_Brutos!#REF!,Dados_Brutos!G:G,"Sem dados",0,-1),"Sem dados")</f>
        <v>#REF!</v>
      </c>
      <c r="E117" s="7" t="e">
        <f>IF(Tabela5[[#This Row],[TURBINAS AFETADAS]]&gt;0, _xlfn.XLOOKUP(Tabela5[[#This Row],[CARREIRA]],Dados_Brutos!#REF!,Dados_Brutos!C:C,"Sem dados",0,-1),"Sem dados")</f>
        <v>#REF!</v>
      </c>
      <c r="F117" s="15" t="e">
        <f t="shared" si="6"/>
        <v>#REF!</v>
      </c>
      <c r="G117" s="52" t="e">
        <f>C117*Config!$B$2</f>
        <v>#REF!</v>
      </c>
      <c r="H117" s="45" t="e">
        <f t="shared" si="7"/>
        <v>#REF!</v>
      </c>
    </row>
    <row r="118" spans="1:8" x14ac:dyDescent="0.3">
      <c r="A118" s="43">
        <v>117</v>
      </c>
      <c r="B118" s="15" t="e">
        <f>COUNTIF(Dados_Brutos!#REF!,A118)</f>
        <v>#REF!</v>
      </c>
      <c r="C118" s="15" t="e">
        <f>SUMIF(Dados_Brutos!#REF!,A118,Dados_Brutos!E:E)</f>
        <v>#REF!</v>
      </c>
      <c r="D118" s="7" t="e">
        <f>IF(Tabela5[[#This Row],[TURBINAS AFETADAS]]&gt;0, _xlfn.XLOOKUP(Tabela5[[#This Row],[CARREIRA]],Dados_Brutos!#REF!,Dados_Brutos!G:G,"Sem dados",0,-1),"Sem dados")</f>
        <v>#REF!</v>
      </c>
      <c r="E118" s="7" t="e">
        <f>IF(Tabela5[[#This Row],[TURBINAS AFETADAS]]&gt;0, _xlfn.XLOOKUP(Tabela5[[#This Row],[CARREIRA]],Dados_Brutos!#REF!,Dados_Brutos!C:C,"Sem dados",0,-1),"Sem dados")</f>
        <v>#REF!</v>
      </c>
      <c r="F118" s="15" t="e">
        <f t="shared" si="6"/>
        <v>#REF!</v>
      </c>
      <c r="G118" s="52" t="e">
        <f>C118*Config!$B$2</f>
        <v>#REF!</v>
      </c>
      <c r="H118" s="45" t="e">
        <f t="shared" si="7"/>
        <v>#REF!</v>
      </c>
    </row>
    <row r="119" spans="1:8" x14ac:dyDescent="0.3">
      <c r="A119" s="43">
        <v>118</v>
      </c>
      <c r="B119" s="15" t="e">
        <f>COUNTIF(Dados_Brutos!#REF!,A119)</f>
        <v>#REF!</v>
      </c>
      <c r="C119" s="15" t="e">
        <f>SUMIF(Dados_Brutos!#REF!,A119,Dados_Brutos!E:E)</f>
        <v>#REF!</v>
      </c>
      <c r="D119" s="7" t="e">
        <f>IF(Tabela5[[#This Row],[TURBINAS AFETADAS]]&gt;0, _xlfn.XLOOKUP(Tabela5[[#This Row],[CARREIRA]],Dados_Brutos!#REF!,Dados_Brutos!G:G,"Sem dados",0,-1),"Sem dados")</f>
        <v>#REF!</v>
      </c>
      <c r="E119" s="7" t="e">
        <f>IF(Tabela5[[#This Row],[TURBINAS AFETADAS]]&gt;0, _xlfn.XLOOKUP(Tabela5[[#This Row],[CARREIRA]],Dados_Brutos!#REF!,Dados_Brutos!C:C,"Sem dados",0,-1),"Sem dados")</f>
        <v>#REF!</v>
      </c>
      <c r="F119" s="15" t="e">
        <f t="shared" si="6"/>
        <v>#REF!</v>
      </c>
      <c r="G119" s="52" t="e">
        <f>C119*Config!$B$2</f>
        <v>#REF!</v>
      </c>
      <c r="H119" s="45" t="e">
        <f t="shared" si="7"/>
        <v>#REF!</v>
      </c>
    </row>
    <row r="120" spans="1:8" x14ac:dyDescent="0.3">
      <c r="A120" s="43">
        <v>119</v>
      </c>
      <c r="B120" s="15" t="e">
        <f>COUNTIF(Dados_Brutos!#REF!,A120)</f>
        <v>#REF!</v>
      </c>
      <c r="C120" s="15" t="e">
        <f>SUMIF(Dados_Brutos!#REF!,A120,Dados_Brutos!E:E)</f>
        <v>#REF!</v>
      </c>
      <c r="D120" s="7" t="e">
        <f>IF(Tabela5[[#This Row],[TURBINAS AFETADAS]]&gt;0, _xlfn.XLOOKUP(Tabela5[[#This Row],[CARREIRA]],Dados_Brutos!#REF!,Dados_Brutos!G:G,"Sem dados",0,-1),"Sem dados")</f>
        <v>#REF!</v>
      </c>
      <c r="E120" s="7" t="e">
        <f>IF(Tabela5[[#This Row],[TURBINAS AFETADAS]]&gt;0, _xlfn.XLOOKUP(Tabela5[[#This Row],[CARREIRA]],Dados_Brutos!#REF!,Dados_Brutos!C:C,"Sem dados",0,-1),"Sem dados")</f>
        <v>#REF!</v>
      </c>
      <c r="F120" s="15" t="e">
        <f t="shared" si="6"/>
        <v>#REF!</v>
      </c>
      <c r="G120" s="52" t="e">
        <f>C120*Config!$B$2</f>
        <v>#REF!</v>
      </c>
      <c r="H120" s="45" t="e">
        <f t="shared" si="7"/>
        <v>#REF!</v>
      </c>
    </row>
    <row r="121" spans="1:8" x14ac:dyDescent="0.3">
      <c r="A121" s="43">
        <v>120</v>
      </c>
      <c r="B121" s="15" t="e">
        <f>COUNTIF(Dados_Brutos!#REF!,A121)</f>
        <v>#REF!</v>
      </c>
      <c r="C121" s="15" t="e">
        <f>SUMIF(Dados_Brutos!#REF!,A121,Dados_Brutos!E:E)</f>
        <v>#REF!</v>
      </c>
      <c r="D121" s="7" t="e">
        <f>IF(Tabela5[[#This Row],[TURBINAS AFETADAS]]&gt;0, _xlfn.XLOOKUP(Tabela5[[#This Row],[CARREIRA]],Dados_Brutos!#REF!,Dados_Brutos!G:G,"Sem dados",0,-1),"Sem dados")</f>
        <v>#REF!</v>
      </c>
      <c r="E121" s="7" t="e">
        <f>IF(Tabela5[[#This Row],[TURBINAS AFETADAS]]&gt;0, _xlfn.XLOOKUP(Tabela5[[#This Row],[CARREIRA]],Dados_Brutos!#REF!,Dados_Brutos!C:C,"Sem dados",0,-1),"Sem dados")</f>
        <v>#REF!</v>
      </c>
      <c r="F121" s="15" t="e">
        <f t="shared" si="6"/>
        <v>#REF!</v>
      </c>
      <c r="G121" s="52" t="e">
        <f>C121*Config!$B$2</f>
        <v>#REF!</v>
      </c>
      <c r="H121" s="45" t="e">
        <f t="shared" si="7"/>
        <v>#REF!</v>
      </c>
    </row>
  </sheetData>
  <conditionalFormatting sqref="C2:C121">
    <cfRule type="expression" dxfId="147" priority="1">
      <formula>$C2&gt;0</formula>
    </cfRule>
  </conditionalFormatting>
  <conditionalFormatting sqref="F2:F121">
    <cfRule type="containsText" dxfId="146" priority="2" operator="containsText" text="BAIXA">
      <formula>NOT(ISERROR(SEARCH("BAIXA",F2)))</formula>
    </cfRule>
    <cfRule type="containsText" dxfId="145" priority="3" operator="containsText" text="MÉDIA">
      <formula>NOT(ISERROR(SEARCH("MÉDIA",F2)))</formula>
    </cfRule>
    <cfRule type="containsText" dxfId="144" priority="4" operator="containsText" text="ALTA">
      <formula>NOT(ISERROR(SEARCH("ALTA",F2)))</formula>
    </cfRule>
  </conditionalFormatting>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5C658-AFCF-4AF5-92C0-B5C0C17C1AB4}">
  <dimension ref="A1:EA132"/>
  <sheetViews>
    <sheetView zoomScale="70" zoomScaleNormal="70" workbookViewId="0">
      <pane ySplit="1" topLeftCell="A82" activePane="bottomLeft" state="frozen"/>
      <selection pane="bottomLeft" activeCell="A94" sqref="A94"/>
    </sheetView>
  </sheetViews>
  <sheetFormatPr defaultRowHeight="14.4" x14ac:dyDescent="0.3"/>
  <cols>
    <col min="1" max="1" width="20.88671875" bestFit="1" customWidth="1"/>
    <col min="2" max="2" width="9.6640625" bestFit="1" customWidth="1"/>
    <col min="3" max="3" width="14.88671875" bestFit="1" customWidth="1"/>
    <col min="4" max="4" width="14.5546875" bestFit="1" customWidth="1"/>
    <col min="5" max="5" width="14.88671875" customWidth="1"/>
    <col min="6" max="6" width="22.44140625" bestFit="1" customWidth="1"/>
    <col min="7" max="11" width="14.88671875" customWidth="1"/>
    <col min="12" max="110" width="11.109375" bestFit="1" customWidth="1"/>
    <col min="111" max="131" width="12.109375" bestFit="1" customWidth="1"/>
  </cols>
  <sheetData>
    <row r="1" spans="1:131" ht="33" customHeight="1" x14ac:dyDescent="0.3">
      <c r="A1" s="62" t="s">
        <v>42</v>
      </c>
      <c r="B1" s="63" t="s">
        <v>0</v>
      </c>
      <c r="C1" s="64" t="s">
        <v>2</v>
      </c>
      <c r="D1" s="64" t="s">
        <v>3</v>
      </c>
      <c r="E1" s="64" t="s">
        <v>43</v>
      </c>
      <c r="F1" s="65" t="s">
        <v>44</v>
      </c>
      <c r="G1" s="64" t="s">
        <v>363</v>
      </c>
      <c r="H1" s="64" t="s">
        <v>361</v>
      </c>
      <c r="I1" s="64" t="s">
        <v>362</v>
      </c>
      <c r="J1" s="64" t="s">
        <v>425</v>
      </c>
      <c r="K1" s="64" t="s">
        <v>85</v>
      </c>
      <c r="L1" s="64" t="s">
        <v>231</v>
      </c>
      <c r="M1" s="64" t="s">
        <v>232</v>
      </c>
      <c r="N1" s="64" t="s">
        <v>233</v>
      </c>
      <c r="O1" s="64" t="s">
        <v>234</v>
      </c>
      <c r="P1" s="64" t="s">
        <v>235</v>
      </c>
      <c r="Q1" s="64" t="s">
        <v>236</v>
      </c>
      <c r="R1" s="64" t="s">
        <v>237</v>
      </c>
      <c r="S1" s="64" t="s">
        <v>238</v>
      </c>
      <c r="T1" s="64" t="s">
        <v>239</v>
      </c>
      <c r="U1" s="64" t="s">
        <v>240</v>
      </c>
      <c r="V1" s="64" t="s">
        <v>241</v>
      </c>
      <c r="W1" s="64" t="s">
        <v>242</v>
      </c>
      <c r="X1" s="64" t="s">
        <v>243</v>
      </c>
      <c r="Y1" s="64" t="s">
        <v>244</v>
      </c>
      <c r="Z1" s="64" t="s">
        <v>245</v>
      </c>
      <c r="AA1" s="64" t="s">
        <v>246</v>
      </c>
      <c r="AB1" s="64" t="s">
        <v>247</v>
      </c>
      <c r="AC1" s="64" t="s">
        <v>248</v>
      </c>
      <c r="AD1" s="64" t="s">
        <v>249</v>
      </c>
      <c r="AE1" s="64" t="s">
        <v>250</v>
      </c>
      <c r="AF1" s="64" t="s">
        <v>251</v>
      </c>
      <c r="AG1" s="64" t="s">
        <v>252</v>
      </c>
      <c r="AH1" s="64" t="s">
        <v>253</v>
      </c>
      <c r="AI1" s="64" t="s">
        <v>254</v>
      </c>
      <c r="AJ1" s="64" t="s">
        <v>255</v>
      </c>
      <c r="AK1" s="64" t="s">
        <v>256</v>
      </c>
      <c r="AL1" s="64" t="s">
        <v>257</v>
      </c>
      <c r="AM1" s="64" t="s">
        <v>258</v>
      </c>
      <c r="AN1" s="64" t="s">
        <v>259</v>
      </c>
      <c r="AO1" s="64" t="s">
        <v>260</v>
      </c>
      <c r="AP1" s="64" t="s">
        <v>261</v>
      </c>
      <c r="AQ1" s="64" t="s">
        <v>262</v>
      </c>
      <c r="AR1" s="64" t="s">
        <v>263</v>
      </c>
      <c r="AS1" s="64" t="s">
        <v>264</v>
      </c>
      <c r="AT1" s="64" t="s">
        <v>265</v>
      </c>
      <c r="AU1" s="64" t="s">
        <v>266</v>
      </c>
      <c r="AV1" s="64" t="s">
        <v>267</v>
      </c>
      <c r="AW1" s="64" t="s">
        <v>268</v>
      </c>
      <c r="AX1" s="64" t="s">
        <v>269</v>
      </c>
      <c r="AY1" s="64" t="s">
        <v>270</v>
      </c>
      <c r="AZ1" s="64" t="s">
        <v>271</v>
      </c>
      <c r="BA1" s="64" t="s">
        <v>272</v>
      </c>
      <c r="BB1" s="64" t="s">
        <v>273</v>
      </c>
      <c r="BC1" s="64" t="s">
        <v>274</v>
      </c>
      <c r="BD1" s="64" t="s">
        <v>275</v>
      </c>
      <c r="BE1" s="64" t="s">
        <v>276</v>
      </c>
      <c r="BF1" s="64" t="s">
        <v>277</v>
      </c>
      <c r="BG1" s="64" t="s">
        <v>278</v>
      </c>
      <c r="BH1" s="64" t="s">
        <v>279</v>
      </c>
      <c r="BI1" s="64" t="s">
        <v>280</v>
      </c>
      <c r="BJ1" s="64" t="s">
        <v>281</v>
      </c>
      <c r="BK1" s="64" t="s">
        <v>282</v>
      </c>
      <c r="BL1" s="64" t="s">
        <v>283</v>
      </c>
      <c r="BM1" s="64" t="s">
        <v>284</v>
      </c>
      <c r="BN1" s="64" t="s">
        <v>285</v>
      </c>
      <c r="BO1" s="64" t="s">
        <v>286</v>
      </c>
      <c r="BP1" s="64" t="s">
        <v>287</v>
      </c>
      <c r="BQ1" s="64" t="s">
        <v>288</v>
      </c>
      <c r="BR1" s="64" t="s">
        <v>289</v>
      </c>
      <c r="BS1" s="64" t="s">
        <v>290</v>
      </c>
      <c r="BT1" s="64" t="s">
        <v>291</v>
      </c>
      <c r="BU1" s="64" t="s">
        <v>292</v>
      </c>
      <c r="BV1" s="64" t="s">
        <v>293</v>
      </c>
      <c r="BW1" s="64" t="s">
        <v>294</v>
      </c>
      <c r="BX1" s="64" t="s">
        <v>295</v>
      </c>
      <c r="BY1" s="64" t="s">
        <v>296</v>
      </c>
      <c r="BZ1" s="64" t="s">
        <v>297</v>
      </c>
      <c r="CA1" s="64" t="s">
        <v>298</v>
      </c>
      <c r="CB1" s="64" t="s">
        <v>299</v>
      </c>
      <c r="CC1" s="64" t="s">
        <v>300</v>
      </c>
      <c r="CD1" s="64" t="s">
        <v>301</v>
      </c>
      <c r="CE1" s="64" t="s">
        <v>302</v>
      </c>
      <c r="CF1" s="64" t="s">
        <v>303</v>
      </c>
      <c r="CG1" s="64" t="s">
        <v>304</v>
      </c>
      <c r="CH1" s="64" t="s">
        <v>305</v>
      </c>
      <c r="CI1" s="64" t="s">
        <v>306</v>
      </c>
      <c r="CJ1" s="64" t="s">
        <v>307</v>
      </c>
      <c r="CK1" s="64" t="s">
        <v>308</v>
      </c>
      <c r="CL1" s="64" t="s">
        <v>309</v>
      </c>
      <c r="CM1" s="64" t="s">
        <v>310</v>
      </c>
      <c r="CN1" s="64" t="s">
        <v>311</v>
      </c>
      <c r="CO1" s="64" t="s">
        <v>312</v>
      </c>
      <c r="CP1" s="64" t="s">
        <v>313</v>
      </c>
      <c r="CQ1" s="64" t="s">
        <v>314</v>
      </c>
      <c r="CR1" s="64" t="s">
        <v>315</v>
      </c>
      <c r="CS1" s="64" t="s">
        <v>316</v>
      </c>
      <c r="CT1" s="64" t="s">
        <v>317</v>
      </c>
      <c r="CU1" s="64" t="s">
        <v>318</v>
      </c>
      <c r="CV1" s="64" t="s">
        <v>319</v>
      </c>
      <c r="CW1" s="64" t="s">
        <v>320</v>
      </c>
      <c r="CX1" s="64" t="s">
        <v>321</v>
      </c>
      <c r="CY1" s="64" t="s">
        <v>322</v>
      </c>
      <c r="CZ1" s="64" t="s">
        <v>323</v>
      </c>
      <c r="DA1" s="64" t="s">
        <v>324</v>
      </c>
      <c r="DB1" s="64" t="s">
        <v>325</v>
      </c>
      <c r="DC1" s="64" t="s">
        <v>326</v>
      </c>
      <c r="DD1" s="64" t="s">
        <v>327</v>
      </c>
      <c r="DE1" s="64" t="s">
        <v>328</v>
      </c>
      <c r="DF1" s="64" t="s">
        <v>329</v>
      </c>
      <c r="DG1" s="64" t="s">
        <v>330</v>
      </c>
      <c r="DH1" s="64" t="s">
        <v>331</v>
      </c>
      <c r="DI1" s="64" t="s">
        <v>332</v>
      </c>
      <c r="DJ1" s="64" t="s">
        <v>333</v>
      </c>
      <c r="DK1" s="64" t="s">
        <v>334</v>
      </c>
      <c r="DL1" s="64" t="s">
        <v>335</v>
      </c>
      <c r="DM1" s="64" t="s">
        <v>336</v>
      </c>
      <c r="DN1" s="64" t="s">
        <v>337</v>
      </c>
      <c r="DO1" s="64" t="s">
        <v>338</v>
      </c>
      <c r="DP1" s="64" t="s">
        <v>339</v>
      </c>
      <c r="DQ1" s="64" t="s">
        <v>340</v>
      </c>
      <c r="DR1" s="64" t="s">
        <v>341</v>
      </c>
      <c r="DS1" s="64" t="s">
        <v>342</v>
      </c>
      <c r="DT1" s="64" t="s">
        <v>343</v>
      </c>
      <c r="DU1" s="64" t="s">
        <v>344</v>
      </c>
      <c r="DV1" s="64" t="s">
        <v>345</v>
      </c>
      <c r="DW1" s="64" t="s">
        <v>346</v>
      </c>
      <c r="DX1" s="64" t="s">
        <v>347</v>
      </c>
      <c r="DY1" s="64" t="s">
        <v>348</v>
      </c>
      <c r="DZ1" s="64" t="s">
        <v>349</v>
      </c>
      <c r="EA1" s="64" t="s">
        <v>350</v>
      </c>
    </row>
    <row r="2" spans="1:131" x14ac:dyDescent="0.3">
      <c r="A2" s="74">
        <v>45439</v>
      </c>
      <c r="B2" s="75" t="s">
        <v>86</v>
      </c>
      <c r="C2" s="76" t="s">
        <v>16</v>
      </c>
      <c r="D2" s="76" t="s">
        <v>180</v>
      </c>
      <c r="E2" s="76">
        <v>0</v>
      </c>
      <c r="F2" s="76" t="s">
        <v>17</v>
      </c>
      <c r="G2" s="76">
        <f>IF(Tabela16[[#This Row],[CICLO INSPECAO]]="Primeiro Ciclo",COUNTIF(Tabela16[[#This Row],[C-01]:[C-120]],"x"),0)</f>
        <v>0</v>
      </c>
      <c r="H2" s="76">
        <f>IF(Tabela16[[#This Row],[CICLO INSPECAO]]="Segundo Ciclo",COUNTIF(Tabela16[[#This Row],[C-01]:[C-120]],"x"),0)</f>
        <v>0</v>
      </c>
      <c r="I2" s="76">
        <f>IF(Tabela16[[#This Row],[CICLO INSPECAO]]="Terceiro Ciclo",COUNTIF(Tabela16[[#This Row],[C-01]:[C-120]],"x"),0)</f>
        <v>0</v>
      </c>
      <c r="J2" s="76">
        <f>IF(Tabela16[[#This Row],[CICLO INSPECAO]]="Quarto Ciclo",COUNTIF(Tabela16[[#This Row],[C-01]:[C-120]],"x"),0)</f>
        <v>0</v>
      </c>
      <c r="K2" s="76">
        <f>IF(Tabela16[[#This Row],[CICLO INSPECAO]]="Troca de Spindle",COUNTIF(Tabela16[[#This Row],[C-01]:[C-120]],"x"),0)</f>
        <v>0</v>
      </c>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row>
    <row r="3" spans="1:131" x14ac:dyDescent="0.3">
      <c r="A3" s="74">
        <v>45623</v>
      </c>
      <c r="B3" s="75" t="s">
        <v>86</v>
      </c>
      <c r="C3" s="76" t="s">
        <v>16</v>
      </c>
      <c r="D3" s="76" t="s">
        <v>180</v>
      </c>
      <c r="E3" s="76">
        <v>0</v>
      </c>
      <c r="F3" s="76" t="s">
        <v>71</v>
      </c>
      <c r="G3" s="76">
        <f>IF(Tabela16[[#This Row],[CICLO INSPECAO]]="Primeiro Ciclo",COUNTIF(Tabela16[[#This Row],[C-01]:[C-120]],"x"),0)</f>
        <v>0</v>
      </c>
      <c r="H3" s="76">
        <f>IF(Tabela16[[#This Row],[CICLO INSPECAO]]="Segundo Ciclo",COUNTIF(Tabela16[[#This Row],[C-01]:[C-120]],"x"),0)</f>
        <v>0</v>
      </c>
      <c r="I3" s="76">
        <f>IF(Tabela16[[#This Row],[CICLO INSPECAO]]="Terceiro Ciclo",COUNTIF(Tabela16[[#This Row],[C-01]:[C-120]],"x"),0)</f>
        <v>0</v>
      </c>
      <c r="J3" s="76">
        <f>IF(Tabela16[[#This Row],[CICLO INSPECAO]]="Quarto Ciclo",COUNTIF(Tabela16[[#This Row],[C-01]:[C-120]],"x"),0)</f>
        <v>0</v>
      </c>
      <c r="K3" s="76">
        <f>IF(Tabela16[[#This Row],[CICLO INSPECAO]]="Troca de Spindle",COUNTIF(Tabela16[[#This Row],[C-01]:[C-120]],"x"),0)</f>
        <v>0</v>
      </c>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row>
    <row r="4" spans="1:131" x14ac:dyDescent="0.3">
      <c r="A4" s="77">
        <v>45775</v>
      </c>
      <c r="B4" s="78" t="s">
        <v>86</v>
      </c>
      <c r="C4" s="76" t="s">
        <v>16</v>
      </c>
      <c r="D4" s="76" t="s">
        <v>180</v>
      </c>
      <c r="E4" s="76">
        <v>0</v>
      </c>
      <c r="F4" s="76" t="s">
        <v>72</v>
      </c>
      <c r="G4" s="76">
        <f>IF(Tabela16[[#This Row],[CICLO INSPECAO]]="Primeiro Ciclo",COUNTIF(Tabela16[[#This Row],[C-01]:[C-120]],"x"),0)</f>
        <v>0</v>
      </c>
      <c r="H4" s="76">
        <f>IF(Tabela16[[#This Row],[CICLO INSPECAO]]="Segundo Ciclo",COUNTIF(Tabela16[[#This Row],[C-01]:[C-120]],"x"),0)</f>
        <v>0</v>
      </c>
      <c r="I4" s="76">
        <f>IF(Tabela16[[#This Row],[CICLO INSPECAO]]="Terceiro Ciclo",COUNTIF(Tabela16[[#This Row],[C-01]:[C-120]],"x"),0)</f>
        <v>0</v>
      </c>
      <c r="J4" s="76">
        <f>IF(Tabela16[[#This Row],[CICLO INSPECAO]]="Quarto Ciclo",COUNTIF(Tabela16[[#This Row],[C-01]:[C-120]],"x"),0)</f>
        <v>0</v>
      </c>
      <c r="K4" s="76">
        <f>IF(Tabela16[[#This Row],[CICLO INSPECAO]]="Troca de Spindle",COUNTIF(Tabela16[[#This Row],[C-01]:[C-120]],"x"),0)</f>
        <v>0</v>
      </c>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row>
    <row r="5" spans="1:131" x14ac:dyDescent="0.3">
      <c r="A5" s="79">
        <v>45456</v>
      </c>
      <c r="B5" s="76" t="s">
        <v>86</v>
      </c>
      <c r="C5" s="76" t="s">
        <v>81</v>
      </c>
      <c r="D5" s="76" t="s">
        <v>205</v>
      </c>
      <c r="E5" s="76">
        <v>0</v>
      </c>
      <c r="F5" s="76" t="s">
        <v>17</v>
      </c>
      <c r="G5" s="76">
        <f>IF(Tabela16[[#This Row],[CICLO INSPECAO]]="Primeiro Ciclo",COUNTIF(Tabela16[[#This Row],[C-01]:[C-120]],"x"),0)</f>
        <v>0</v>
      </c>
      <c r="H5" s="76">
        <f>IF(Tabela16[[#This Row],[CICLO INSPECAO]]="Segundo Ciclo",COUNTIF(Tabela16[[#This Row],[C-01]:[C-120]],"x"),0)</f>
        <v>0</v>
      </c>
      <c r="I5" s="76">
        <f>IF(Tabela16[[#This Row],[CICLO INSPECAO]]="Terceiro Ciclo",COUNTIF(Tabela16[[#This Row],[C-01]:[C-120]],"x"),0)</f>
        <v>0</v>
      </c>
      <c r="J5" s="76">
        <f>IF(Tabela16[[#This Row],[CICLO INSPECAO]]="Quarto Ciclo",COUNTIF(Tabela16[[#This Row],[C-01]:[C-120]],"x"),0)</f>
        <v>0</v>
      </c>
      <c r="K5" s="76">
        <f>IF(Tabela16[[#This Row],[CICLO INSPECAO]]="Troca de Spindle",COUNTIF(Tabela16[[#This Row],[C-01]:[C-120]],"x"),0)</f>
        <v>0</v>
      </c>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row>
    <row r="6" spans="1:131" x14ac:dyDescent="0.3">
      <c r="A6" s="79">
        <v>45639</v>
      </c>
      <c r="B6" s="76" t="s">
        <v>86</v>
      </c>
      <c r="C6" s="76" t="s">
        <v>81</v>
      </c>
      <c r="D6" s="76" t="s">
        <v>205</v>
      </c>
      <c r="E6" s="76">
        <v>0</v>
      </c>
      <c r="F6" s="76" t="s">
        <v>71</v>
      </c>
      <c r="G6" s="76">
        <f>IF(Tabela16[[#This Row],[CICLO INSPECAO]]="Primeiro Ciclo",COUNTIF(Tabela16[[#This Row],[C-01]:[C-120]],"x"),0)</f>
        <v>0</v>
      </c>
      <c r="H6" s="76">
        <f>IF(Tabela16[[#This Row],[CICLO INSPECAO]]="Segundo Ciclo",COUNTIF(Tabela16[[#This Row],[C-01]:[C-120]],"x"),0)</f>
        <v>0</v>
      </c>
      <c r="I6" s="76">
        <f>IF(Tabela16[[#This Row],[CICLO INSPECAO]]="Terceiro Ciclo",COUNTIF(Tabela16[[#This Row],[C-01]:[C-120]],"x"),0)</f>
        <v>0</v>
      </c>
      <c r="J6" s="76">
        <f>IF(Tabela16[[#This Row],[CICLO INSPECAO]]="Quarto Ciclo",COUNTIF(Tabela16[[#This Row],[C-01]:[C-120]],"x"),0)</f>
        <v>0</v>
      </c>
      <c r="K6" s="76">
        <f>IF(Tabela16[[#This Row],[CICLO INSPECAO]]="Troca de Spindle",COUNTIF(Tabela16[[#This Row],[C-01]:[C-120]],"x"),0)</f>
        <v>0</v>
      </c>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row>
    <row r="7" spans="1:131" x14ac:dyDescent="0.3">
      <c r="A7" s="79">
        <v>45462</v>
      </c>
      <c r="B7" s="76" t="s">
        <v>86</v>
      </c>
      <c r="C7" s="76" t="s">
        <v>81</v>
      </c>
      <c r="D7" s="76" t="s">
        <v>206</v>
      </c>
      <c r="E7" s="76">
        <v>0</v>
      </c>
      <c r="F7" s="76" t="s">
        <v>17</v>
      </c>
      <c r="G7" s="76">
        <f>IF(Tabela16[[#This Row],[CICLO INSPECAO]]="Primeiro Ciclo",COUNTIF(Tabela16[[#This Row],[C-01]:[C-120]],"x"),0)</f>
        <v>0</v>
      </c>
      <c r="H7" s="76">
        <f>IF(Tabela16[[#This Row],[CICLO INSPECAO]]="Segundo Ciclo",COUNTIF(Tabela16[[#This Row],[C-01]:[C-120]],"x"),0)</f>
        <v>0</v>
      </c>
      <c r="I7" s="76">
        <f>IF(Tabela16[[#This Row],[CICLO INSPECAO]]="Terceiro Ciclo",COUNTIF(Tabela16[[#This Row],[C-01]:[C-120]],"x"),0)</f>
        <v>0</v>
      </c>
      <c r="J7" s="76">
        <f>IF(Tabela16[[#This Row],[CICLO INSPECAO]]="Quarto Ciclo",COUNTIF(Tabela16[[#This Row],[C-01]:[C-120]],"x"),0)</f>
        <v>0</v>
      </c>
      <c r="K7" s="76">
        <f>IF(Tabela16[[#This Row],[CICLO INSPECAO]]="Troca de Spindle",COUNTIF(Tabela16[[#This Row],[C-01]:[C-120]],"x"),0)</f>
        <v>0</v>
      </c>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row>
    <row r="8" spans="1:131" x14ac:dyDescent="0.3">
      <c r="A8" s="79">
        <v>45644</v>
      </c>
      <c r="B8" s="76" t="s">
        <v>86</v>
      </c>
      <c r="C8" s="76" t="s">
        <v>81</v>
      </c>
      <c r="D8" s="76" t="s">
        <v>206</v>
      </c>
      <c r="E8" s="76">
        <v>0</v>
      </c>
      <c r="F8" s="76" t="s">
        <v>71</v>
      </c>
      <c r="G8" s="76">
        <f>IF(Tabela16[[#This Row],[CICLO INSPECAO]]="Primeiro Ciclo",COUNTIF(Tabela16[[#This Row],[C-01]:[C-120]],"x"),0)</f>
        <v>0</v>
      </c>
      <c r="H8" s="76">
        <f>IF(Tabela16[[#This Row],[CICLO INSPECAO]]="Segundo Ciclo",COUNTIF(Tabela16[[#This Row],[C-01]:[C-120]],"x"),0)</f>
        <v>0</v>
      </c>
      <c r="I8" s="76">
        <f>IF(Tabela16[[#This Row],[CICLO INSPECAO]]="Terceiro Ciclo",COUNTIF(Tabela16[[#This Row],[C-01]:[C-120]],"x"),0)</f>
        <v>0</v>
      </c>
      <c r="J8" s="76">
        <f>IF(Tabela16[[#This Row],[CICLO INSPECAO]]="Quarto Ciclo",COUNTIF(Tabela16[[#This Row],[C-01]:[C-120]],"x"),0)</f>
        <v>0</v>
      </c>
      <c r="K8" s="76">
        <f>IF(Tabela16[[#This Row],[CICLO INSPECAO]]="Troca de Spindle",COUNTIF(Tabela16[[#This Row],[C-01]:[C-120]],"x"),0)</f>
        <v>0</v>
      </c>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row>
    <row r="9" spans="1:131" x14ac:dyDescent="0.3">
      <c r="A9" s="79">
        <v>45436</v>
      </c>
      <c r="B9" s="76" t="s">
        <v>86</v>
      </c>
      <c r="C9" s="76" t="s">
        <v>16</v>
      </c>
      <c r="D9" s="76" t="s">
        <v>181</v>
      </c>
      <c r="E9" s="76">
        <v>0</v>
      </c>
      <c r="F9" s="76" t="s">
        <v>17</v>
      </c>
      <c r="G9" s="76">
        <f>IF(Tabela16[[#This Row],[CICLO INSPECAO]]="Primeiro Ciclo",COUNTIF(Tabela16[[#This Row],[C-01]:[C-120]],"x"),0)</f>
        <v>0</v>
      </c>
      <c r="H9" s="76">
        <f>IF(Tabela16[[#This Row],[CICLO INSPECAO]]="Segundo Ciclo",COUNTIF(Tabela16[[#This Row],[C-01]:[C-120]],"x"),0)</f>
        <v>0</v>
      </c>
      <c r="I9" s="76">
        <f>IF(Tabela16[[#This Row],[CICLO INSPECAO]]="Terceiro Ciclo",COUNTIF(Tabela16[[#This Row],[C-01]:[C-120]],"x"),0)</f>
        <v>0</v>
      </c>
      <c r="J9" s="76">
        <f>IF(Tabela16[[#This Row],[CICLO INSPECAO]]="Quarto Ciclo",COUNTIF(Tabela16[[#This Row],[C-01]:[C-120]],"x"),0)</f>
        <v>0</v>
      </c>
      <c r="K9" s="76">
        <f>IF(Tabela16[[#This Row],[CICLO INSPECAO]]="Troca de Spindle",COUNTIF(Tabela16[[#This Row],[C-01]:[C-120]],"x"),0)</f>
        <v>0</v>
      </c>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row>
    <row r="10" spans="1:131" x14ac:dyDescent="0.3">
      <c r="A10" s="80">
        <v>45642</v>
      </c>
      <c r="B10" s="81" t="s">
        <v>86</v>
      </c>
      <c r="C10" s="81" t="s">
        <v>16</v>
      </c>
      <c r="D10" s="81" t="s">
        <v>181</v>
      </c>
      <c r="E10" s="81">
        <v>0</v>
      </c>
      <c r="F10" s="81" t="s">
        <v>71</v>
      </c>
      <c r="G10" s="81">
        <f>IF(Tabela16[[#This Row],[CICLO INSPECAO]]="Primeiro Ciclo",COUNTIF(Tabela16[[#This Row],[C-01]:[C-120]],"x"),0)</f>
        <v>0</v>
      </c>
      <c r="H10" s="81">
        <f>IF(Tabela16[[#This Row],[CICLO INSPECAO]]="Segundo Ciclo",COUNTIF(Tabela16[[#This Row],[C-01]:[C-120]],"x"),0)</f>
        <v>0</v>
      </c>
      <c r="I10" s="81">
        <f>IF(Tabela16[[#This Row],[CICLO INSPECAO]]="Terceiro Ciclo",COUNTIF(Tabela16[[#This Row],[C-01]:[C-120]],"x"),0)</f>
        <v>0</v>
      </c>
      <c r="J10" s="81">
        <f>IF(Tabela16[[#This Row],[CICLO INSPECAO]]="Quarto Ciclo",COUNTIF(Tabela16[[#This Row],[C-01]:[C-120]],"x"),0)</f>
        <v>0</v>
      </c>
      <c r="K10" s="81">
        <f>IF(Tabela16[[#This Row],[CICLO INSPECAO]]="Troca de Spindle",COUNTIF(Tabela16[[#This Row],[C-01]:[C-120]],"x"),0)</f>
        <v>0</v>
      </c>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c r="CY10" s="44"/>
      <c r="CZ10" s="44"/>
      <c r="DA10" s="44"/>
      <c r="DB10" s="44"/>
      <c r="DC10" s="44"/>
      <c r="DD10" s="44"/>
      <c r="DE10" s="44"/>
      <c r="DF10" s="44"/>
      <c r="DG10" s="44"/>
      <c r="DH10" s="44"/>
      <c r="DI10" s="44"/>
      <c r="DJ10" s="44"/>
      <c r="DK10" s="44"/>
      <c r="DL10" s="44"/>
      <c r="DM10" s="44"/>
      <c r="DN10" s="44"/>
      <c r="DO10" s="44"/>
      <c r="DP10" s="44"/>
      <c r="DQ10" s="44"/>
      <c r="DR10" s="44"/>
      <c r="DS10" s="44"/>
      <c r="DT10" s="44"/>
      <c r="DU10" s="44"/>
      <c r="DV10" s="44"/>
      <c r="DW10" s="44"/>
      <c r="DX10" s="44"/>
      <c r="DY10" s="44"/>
      <c r="DZ10" s="44"/>
      <c r="EA10" s="44"/>
    </row>
    <row r="11" spans="1:131" x14ac:dyDescent="0.3">
      <c r="A11" s="79">
        <v>45734</v>
      </c>
      <c r="B11" s="76" t="s">
        <v>86</v>
      </c>
      <c r="C11" s="76" t="s">
        <v>16</v>
      </c>
      <c r="D11" s="76" t="s">
        <v>181</v>
      </c>
      <c r="E11" s="76">
        <v>0</v>
      </c>
      <c r="F11" s="76" t="s">
        <v>72</v>
      </c>
      <c r="G11" s="76">
        <f>IF(Tabela16[[#This Row],[CICLO INSPECAO]]="Primeiro Ciclo",COUNTIF(Tabela16[[#This Row],[C-01]:[C-120]],"x"),0)</f>
        <v>0</v>
      </c>
      <c r="H11" s="76">
        <f>IF(Tabela16[[#This Row],[CICLO INSPECAO]]="Segundo Ciclo",COUNTIF(Tabela16[[#This Row],[C-01]:[C-120]],"x"),0)</f>
        <v>0</v>
      </c>
      <c r="I11" s="76">
        <f>IF(Tabela16[[#This Row],[CICLO INSPECAO]]="Terceiro Ciclo",COUNTIF(Tabela16[[#This Row],[C-01]:[C-120]],"x"),0)</f>
        <v>0</v>
      </c>
      <c r="J11" s="76">
        <f>IF(Tabela16[[#This Row],[CICLO INSPECAO]]="Quarto Ciclo",COUNTIF(Tabela16[[#This Row],[C-01]:[C-120]],"x"),0)</f>
        <v>0</v>
      </c>
      <c r="K11" s="76">
        <f>IF(Tabela16[[#This Row],[CICLO INSPECAO]]="Troca de Spindle",COUNTIF(Tabela16[[#This Row],[C-01]:[C-120]],"x"),0)</f>
        <v>0</v>
      </c>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row>
    <row r="12" spans="1:131" x14ac:dyDescent="0.3">
      <c r="A12" s="79">
        <v>45425</v>
      </c>
      <c r="B12" s="76">
        <v>66932</v>
      </c>
      <c r="C12" s="76" t="s">
        <v>73</v>
      </c>
      <c r="D12" s="76" t="s">
        <v>191</v>
      </c>
      <c r="E12" s="76">
        <v>60</v>
      </c>
      <c r="F12" s="76" t="s">
        <v>17</v>
      </c>
      <c r="G12" s="76">
        <f>IF(Tabela16[[#This Row],[CICLO INSPECAO]]="Primeiro Ciclo",COUNTIF(Tabela16[[#This Row],[C-01]:[C-120]],"x"),0)</f>
        <v>6</v>
      </c>
      <c r="H12" s="76">
        <f>IF(Tabela16[[#This Row],[CICLO INSPECAO]]="Segundo Ciclo",COUNTIF(Tabela16[[#This Row],[C-01]:[C-120]],"x"),0)</f>
        <v>0</v>
      </c>
      <c r="I12" s="76">
        <f>IF(Tabela16[[#This Row],[CICLO INSPECAO]]="Terceiro Ciclo",COUNTIF(Tabela16[[#This Row],[C-01]:[C-120]],"x"),0)</f>
        <v>0</v>
      </c>
      <c r="J12" s="76">
        <f>IF(Tabela16[[#This Row],[CICLO INSPECAO]]="Quarto Ciclo",COUNTIF(Tabela16[[#This Row],[C-01]:[C-120]],"x"),0)</f>
        <v>0</v>
      </c>
      <c r="K12" s="76">
        <f>IF(Tabela16[[#This Row],[CICLO INSPECAO]]="Troca de Spindle",COUNTIF(Tabela16[[#This Row],[C-01]:[C-120]],"x"),0)</f>
        <v>0</v>
      </c>
      <c r="L12" s="37"/>
      <c r="M12" s="37"/>
      <c r="N12" s="37"/>
      <c r="O12" s="37"/>
      <c r="P12" s="37"/>
      <c r="Q12" s="37"/>
      <c r="R12" s="37"/>
      <c r="S12" s="37"/>
      <c r="T12" s="37"/>
      <c r="U12" s="37"/>
      <c r="V12" s="37"/>
      <c r="W12" s="37"/>
      <c r="X12" s="37"/>
      <c r="Y12" s="37" t="s">
        <v>351</v>
      </c>
      <c r="Z12" s="37"/>
      <c r="AA12" s="37"/>
      <c r="AB12" s="37"/>
      <c r="AC12" s="37"/>
      <c r="AD12" s="37"/>
      <c r="AE12" s="37"/>
      <c r="AF12" s="37"/>
      <c r="AG12" s="37"/>
      <c r="AH12" s="37"/>
      <c r="AI12" s="37"/>
      <c r="AJ12" s="37"/>
      <c r="AK12" s="37"/>
      <c r="AL12" s="37" t="s">
        <v>351</v>
      </c>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t="s">
        <v>351</v>
      </c>
      <c r="DB12" s="37" t="s">
        <v>351</v>
      </c>
      <c r="DC12" s="37" t="s">
        <v>351</v>
      </c>
      <c r="DD12" s="37"/>
      <c r="DE12" s="37"/>
      <c r="DF12" s="37" t="s">
        <v>351</v>
      </c>
      <c r="DG12" s="37"/>
      <c r="DH12" s="37"/>
      <c r="DI12" s="37"/>
      <c r="DJ12" s="37"/>
      <c r="DK12" s="37"/>
      <c r="DL12" s="37"/>
      <c r="DM12" s="37"/>
      <c r="DN12" s="37"/>
      <c r="DO12" s="37"/>
      <c r="DP12" s="37"/>
      <c r="DQ12" s="37"/>
      <c r="DR12" s="37"/>
      <c r="DS12" s="37"/>
      <c r="DT12" s="37"/>
      <c r="DU12" s="37"/>
      <c r="DV12" s="37"/>
      <c r="DW12" s="37"/>
      <c r="DX12" s="37"/>
      <c r="DY12" s="37"/>
      <c r="DZ12" s="37"/>
      <c r="EA12" s="37"/>
    </row>
    <row r="13" spans="1:131" x14ac:dyDescent="0.3">
      <c r="A13" s="80">
        <v>45637</v>
      </c>
      <c r="B13" s="81" t="s">
        <v>86</v>
      </c>
      <c r="C13" s="81" t="s">
        <v>73</v>
      </c>
      <c r="D13" s="81" t="s">
        <v>191</v>
      </c>
      <c r="E13" s="81">
        <v>0</v>
      </c>
      <c r="F13" s="81" t="s">
        <v>71</v>
      </c>
      <c r="G13" s="81">
        <f>IF(Tabela16[[#This Row],[CICLO INSPECAO]]="Primeiro Ciclo",COUNTIF(Tabela16[[#This Row],[C-01]:[C-120]],"x"),0)</f>
        <v>0</v>
      </c>
      <c r="H13" s="81">
        <f>IF(Tabela16[[#This Row],[CICLO INSPECAO]]="Segundo Ciclo",COUNTIF(Tabela16[[#This Row],[C-01]:[C-120]],"x"),0)</f>
        <v>0</v>
      </c>
      <c r="I13" s="81">
        <f>IF(Tabela16[[#This Row],[CICLO INSPECAO]]="Terceiro Ciclo",COUNTIF(Tabela16[[#This Row],[C-01]:[C-120]],"x"),0)</f>
        <v>0</v>
      </c>
      <c r="J13" s="81">
        <f>IF(Tabela16[[#This Row],[CICLO INSPECAO]]="Quarto Ciclo",COUNTIF(Tabela16[[#This Row],[C-01]:[C-120]],"x"),0)</f>
        <v>0</v>
      </c>
      <c r="K13" s="81">
        <f>IF(Tabela16[[#This Row],[CICLO INSPECAO]]="Troca de Spindle",COUNTIF(Tabela16[[#This Row],[C-01]:[C-120]],"x"),0)</f>
        <v>0</v>
      </c>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c r="CY13" s="44"/>
      <c r="CZ13" s="44"/>
      <c r="DA13" s="44"/>
      <c r="DB13" s="44"/>
      <c r="DC13" s="44"/>
      <c r="DD13" s="44"/>
      <c r="DE13" s="44"/>
      <c r="DF13" s="44"/>
      <c r="DG13" s="44"/>
      <c r="DH13" s="44"/>
      <c r="DI13" s="44"/>
      <c r="DJ13" s="44"/>
      <c r="DK13" s="44"/>
      <c r="DL13" s="44"/>
      <c r="DM13" s="44"/>
      <c r="DN13" s="44"/>
      <c r="DO13" s="44"/>
      <c r="DP13" s="44"/>
      <c r="DQ13" s="44"/>
      <c r="DR13" s="44"/>
      <c r="DS13" s="44"/>
      <c r="DT13" s="44"/>
      <c r="DU13" s="44"/>
      <c r="DV13" s="44"/>
      <c r="DW13" s="44"/>
      <c r="DX13" s="44"/>
      <c r="DY13" s="44"/>
      <c r="DZ13" s="44"/>
      <c r="EA13" s="44"/>
    </row>
    <row r="14" spans="1:131" x14ac:dyDescent="0.3">
      <c r="A14" s="79">
        <v>45749</v>
      </c>
      <c r="B14" s="76" t="s">
        <v>86</v>
      </c>
      <c r="C14" s="76" t="s">
        <v>73</v>
      </c>
      <c r="D14" s="76" t="s">
        <v>191</v>
      </c>
      <c r="E14" s="76">
        <v>20</v>
      </c>
      <c r="F14" s="76" t="s">
        <v>72</v>
      </c>
      <c r="G14" s="76">
        <f>IF(Tabela16[[#This Row],[CICLO INSPECAO]]="Primeiro Ciclo",COUNTIF(Tabela16[[#This Row],[C-01]:[C-120]],"x"),0)</f>
        <v>0</v>
      </c>
      <c r="H14" s="76">
        <f>IF(Tabela16[[#This Row],[CICLO INSPECAO]]="Segundo Ciclo",COUNTIF(Tabela16[[#This Row],[C-01]:[C-120]],"x"),0)</f>
        <v>0</v>
      </c>
      <c r="I14" s="76">
        <f>IF(Tabela16[[#This Row],[CICLO INSPECAO]]="Terceiro Ciclo",COUNTIF(Tabela16[[#This Row],[C-01]:[C-120]],"x"),0)</f>
        <v>2</v>
      </c>
      <c r="J14" s="76">
        <f>IF(Tabela16[[#This Row],[CICLO INSPECAO]]="Quarto Ciclo",COUNTIF(Tabela16[[#This Row],[C-01]:[C-120]],"x"),0)</f>
        <v>0</v>
      </c>
      <c r="K14" s="76">
        <f>IF(Tabela16[[#This Row],[CICLO INSPECAO]]="Troca de Spindle",COUNTIF(Tabela16[[#This Row],[C-01]:[C-120]],"x"),0)</f>
        <v>0</v>
      </c>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t="s">
        <v>351</v>
      </c>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t="s">
        <v>351</v>
      </c>
      <c r="DU14" s="7"/>
      <c r="DV14" s="7"/>
      <c r="DW14" s="7"/>
      <c r="DX14" s="7"/>
      <c r="DY14" s="7"/>
      <c r="DZ14" s="7"/>
      <c r="EA14" s="7"/>
    </row>
    <row r="15" spans="1:131" x14ac:dyDescent="0.3">
      <c r="A15" s="79">
        <v>45408</v>
      </c>
      <c r="B15" s="76">
        <v>66434</v>
      </c>
      <c r="C15" s="76" t="s">
        <v>73</v>
      </c>
      <c r="D15" s="76" t="s">
        <v>192</v>
      </c>
      <c r="E15" s="76">
        <v>20</v>
      </c>
      <c r="F15" s="76" t="s">
        <v>17</v>
      </c>
      <c r="G15" s="76">
        <f>IF(Tabela16[[#This Row],[CICLO INSPECAO]]="Primeiro Ciclo",COUNTIF(Tabela16[[#This Row],[C-01]:[C-120]],"x"),0)</f>
        <v>2</v>
      </c>
      <c r="H15" s="76">
        <f>IF(Tabela16[[#This Row],[CICLO INSPECAO]]="Segundo Ciclo",COUNTIF(Tabela16[[#This Row],[C-01]:[C-120]],"x"),0)</f>
        <v>0</v>
      </c>
      <c r="I15" s="76">
        <f>IF(Tabela16[[#This Row],[CICLO INSPECAO]]="Terceiro Ciclo",COUNTIF(Tabela16[[#This Row],[C-01]:[C-120]],"x"),0)</f>
        <v>0</v>
      </c>
      <c r="J15" s="76">
        <f>IF(Tabela16[[#This Row],[CICLO INSPECAO]]="Quarto Ciclo",COUNTIF(Tabela16[[#This Row],[C-01]:[C-120]],"x"),0)</f>
        <v>0</v>
      </c>
      <c r="K15" s="76">
        <f>IF(Tabela16[[#This Row],[CICLO INSPECAO]]="Troca de Spindle",COUNTIF(Tabela16[[#This Row],[C-01]:[C-120]],"x"),0)</f>
        <v>0</v>
      </c>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t="s">
        <v>351</v>
      </c>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t="s">
        <v>351</v>
      </c>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row>
    <row r="16" spans="1:131" x14ac:dyDescent="0.3">
      <c r="A16" s="79">
        <v>45624</v>
      </c>
      <c r="B16" s="76" t="s">
        <v>86</v>
      </c>
      <c r="C16" s="76" t="s">
        <v>73</v>
      </c>
      <c r="D16" s="76" t="s">
        <v>192</v>
      </c>
      <c r="E16" s="76">
        <v>0</v>
      </c>
      <c r="F16" s="76" t="s">
        <v>71</v>
      </c>
      <c r="G16" s="76">
        <f>IF(Tabela16[[#This Row],[CICLO INSPECAO]]="Primeiro Ciclo",COUNTIF(Tabela16[[#This Row],[C-01]:[C-120]],"x"),0)</f>
        <v>0</v>
      </c>
      <c r="H16" s="76">
        <f>IF(Tabela16[[#This Row],[CICLO INSPECAO]]="Segundo Ciclo",COUNTIF(Tabela16[[#This Row],[C-01]:[C-120]],"x"),0)</f>
        <v>0</v>
      </c>
      <c r="I16" s="76">
        <f>IF(Tabela16[[#This Row],[CICLO INSPECAO]]="Terceiro Ciclo",COUNTIF(Tabela16[[#This Row],[C-01]:[C-120]],"x"),0)</f>
        <v>0</v>
      </c>
      <c r="J16" s="76">
        <f>IF(Tabela16[[#This Row],[CICLO INSPECAO]]="Quarto Ciclo",COUNTIF(Tabela16[[#This Row],[C-01]:[C-120]],"x"),0)</f>
        <v>0</v>
      </c>
      <c r="K16" s="76">
        <f>IF(Tabela16[[#This Row],[CICLO INSPECAO]]="Troca de Spindle",COUNTIF(Tabela16[[#This Row],[C-01]:[C-120]],"x"),0)</f>
        <v>0</v>
      </c>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row>
    <row r="17" spans="1:131" x14ac:dyDescent="0.3">
      <c r="A17" s="79">
        <v>45453</v>
      </c>
      <c r="B17" s="76">
        <v>67613</v>
      </c>
      <c r="C17" s="76" t="s">
        <v>73</v>
      </c>
      <c r="D17" s="76" t="s">
        <v>193</v>
      </c>
      <c r="E17" s="76">
        <v>30</v>
      </c>
      <c r="F17" s="76" t="s">
        <v>17</v>
      </c>
      <c r="G17" s="76">
        <f>IF(Tabela16[[#This Row],[CICLO INSPECAO]]="Primeiro Ciclo",COUNTIF(Tabela16[[#This Row],[C-01]:[C-120]],"x"),0)</f>
        <v>3</v>
      </c>
      <c r="H17" s="76">
        <f>IF(Tabela16[[#This Row],[CICLO INSPECAO]]="Segundo Ciclo",COUNTIF(Tabela16[[#This Row],[C-01]:[C-120]],"x"),0)</f>
        <v>0</v>
      </c>
      <c r="I17" s="76">
        <f>IF(Tabela16[[#This Row],[CICLO INSPECAO]]="Terceiro Ciclo",COUNTIF(Tabela16[[#This Row],[C-01]:[C-120]],"x"),0)</f>
        <v>0</v>
      </c>
      <c r="J17" s="76">
        <f>IF(Tabela16[[#This Row],[CICLO INSPECAO]]="Quarto Ciclo",COUNTIF(Tabela16[[#This Row],[C-01]:[C-120]],"x"),0)</f>
        <v>0</v>
      </c>
      <c r="K17" s="76">
        <f>IF(Tabela16[[#This Row],[CICLO INSPECAO]]="Troca de Spindle",COUNTIF(Tabela16[[#This Row],[C-01]:[C-120]],"x"),0)</f>
        <v>0</v>
      </c>
      <c r="L17" s="7"/>
      <c r="M17" s="7"/>
      <c r="N17" s="7"/>
      <c r="O17" s="7"/>
      <c r="P17" s="7" t="s">
        <v>351</v>
      </c>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t="s">
        <v>351</v>
      </c>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t="s">
        <v>351</v>
      </c>
    </row>
    <row r="18" spans="1:131" x14ac:dyDescent="0.3">
      <c r="A18" s="79">
        <v>45624</v>
      </c>
      <c r="B18" s="76" t="s">
        <v>86</v>
      </c>
      <c r="C18" s="76" t="s">
        <v>73</v>
      </c>
      <c r="D18" s="76" t="s">
        <v>193</v>
      </c>
      <c r="E18" s="76">
        <v>0</v>
      </c>
      <c r="F18" s="76" t="s">
        <v>71</v>
      </c>
      <c r="G18" s="76">
        <f>IF(Tabela16[[#This Row],[CICLO INSPECAO]]="Primeiro Ciclo",COUNTIF(Tabela16[[#This Row],[C-01]:[C-120]],"x"),0)</f>
        <v>0</v>
      </c>
      <c r="H18" s="76">
        <f>IF(Tabela16[[#This Row],[CICLO INSPECAO]]="Segundo Ciclo",COUNTIF(Tabela16[[#This Row],[C-01]:[C-120]],"x"),0)</f>
        <v>0</v>
      </c>
      <c r="I18" s="76">
        <f>IF(Tabela16[[#This Row],[CICLO INSPECAO]]="Terceiro Ciclo",COUNTIF(Tabela16[[#This Row],[C-01]:[C-120]],"x"),0)</f>
        <v>0</v>
      </c>
      <c r="J18" s="76">
        <f>IF(Tabela16[[#This Row],[CICLO INSPECAO]]="Quarto Ciclo",COUNTIF(Tabela16[[#This Row],[C-01]:[C-120]],"x"),0)</f>
        <v>0</v>
      </c>
      <c r="K18" s="76">
        <f>IF(Tabela16[[#This Row],[CICLO INSPECAO]]="Troca de Spindle",COUNTIF(Tabela16[[#This Row],[C-01]:[C-120]],"x"),0)</f>
        <v>0</v>
      </c>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row>
    <row r="19" spans="1:131" x14ac:dyDescent="0.3">
      <c r="A19" s="79">
        <v>45441</v>
      </c>
      <c r="B19" s="76" t="s">
        <v>86</v>
      </c>
      <c r="C19" s="76" t="s">
        <v>82</v>
      </c>
      <c r="D19" s="76" t="s">
        <v>216</v>
      </c>
      <c r="E19" s="76">
        <v>0</v>
      </c>
      <c r="F19" s="76" t="s">
        <v>17</v>
      </c>
      <c r="G19" s="76">
        <f>IF(Tabela16[[#This Row],[CICLO INSPECAO]]="Primeiro Ciclo",COUNTIF(Tabela16[[#This Row],[C-01]:[C-120]],"x"),0)</f>
        <v>0</v>
      </c>
      <c r="H19" s="76">
        <f>IF(Tabela16[[#This Row],[CICLO INSPECAO]]="Segundo Ciclo",COUNTIF(Tabela16[[#This Row],[C-01]:[C-120]],"x"),0)</f>
        <v>0</v>
      </c>
      <c r="I19" s="76">
        <f>IF(Tabela16[[#This Row],[CICLO INSPECAO]]="Terceiro Ciclo",COUNTIF(Tabela16[[#This Row],[C-01]:[C-120]],"x"),0)</f>
        <v>0</v>
      </c>
      <c r="J19" s="76">
        <f>IF(Tabela16[[#This Row],[CICLO INSPECAO]]="Quarto Ciclo",COUNTIF(Tabela16[[#This Row],[C-01]:[C-120]],"x"),0)</f>
        <v>0</v>
      </c>
      <c r="K19" s="76">
        <f>IF(Tabela16[[#This Row],[CICLO INSPECAO]]="Troca de Spindle",COUNTIF(Tabela16[[#This Row],[C-01]:[C-120]],"x"),0)</f>
        <v>0</v>
      </c>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row>
    <row r="20" spans="1:131" x14ac:dyDescent="0.3">
      <c r="A20" s="79">
        <v>45589</v>
      </c>
      <c r="B20" s="76" t="s">
        <v>86</v>
      </c>
      <c r="C20" s="76" t="s">
        <v>82</v>
      </c>
      <c r="D20" s="76" t="s">
        <v>216</v>
      </c>
      <c r="E20" s="76">
        <v>3</v>
      </c>
      <c r="F20" s="76" t="s">
        <v>85</v>
      </c>
      <c r="G20" s="76">
        <f>IF(Tabela16[[#This Row],[CICLO INSPECAO]]="Primeiro Ciclo",COUNTIF(Tabela16[[#This Row],[C-01]:[C-120]],"x"),0)</f>
        <v>0</v>
      </c>
      <c r="H20" s="76">
        <f>IF(Tabela16[[#This Row],[CICLO INSPECAO]]="Segundo Ciclo",COUNTIF(Tabela16[[#This Row],[C-01]:[C-120]],"x"),0)</f>
        <v>0</v>
      </c>
      <c r="I20" s="76">
        <f>IF(Tabela16[[#This Row],[CICLO INSPECAO]]="Terceiro Ciclo",COUNTIF(Tabela16[[#This Row],[C-01]:[C-120]],"x"),0)</f>
        <v>0</v>
      </c>
      <c r="J20" s="76">
        <f>IF(Tabela16[[#This Row],[CICLO INSPECAO]]="Quarto Ciclo",COUNTIF(Tabela16[[#This Row],[C-01]:[C-120]],"x"),0)</f>
        <v>0</v>
      </c>
      <c r="K20" s="76">
        <f>IF(Tabela16[[#This Row],[CICLO INSPECAO]]="Troca de Spindle",COUNTIF(Tabela16[[#This Row],[C-01]:[C-120]],"x"),0)</f>
        <v>0</v>
      </c>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row>
    <row r="21" spans="1:131" x14ac:dyDescent="0.3">
      <c r="A21" s="80">
        <v>45616</v>
      </c>
      <c r="B21" s="81" t="s">
        <v>86</v>
      </c>
      <c r="C21" s="81" t="s">
        <v>82</v>
      </c>
      <c r="D21" s="81" t="s">
        <v>216</v>
      </c>
      <c r="E21" s="81">
        <v>0</v>
      </c>
      <c r="F21" s="81" t="s">
        <v>71</v>
      </c>
      <c r="G21" s="81">
        <f>IF(Tabela16[[#This Row],[CICLO INSPECAO]]="Primeiro Ciclo",COUNTIF(Tabela16[[#This Row],[C-01]:[C-120]],"x"),0)</f>
        <v>0</v>
      </c>
      <c r="H21" s="81">
        <f>IF(Tabela16[[#This Row],[CICLO INSPECAO]]="Segundo Ciclo",COUNTIF(Tabela16[[#This Row],[C-01]:[C-120]],"x"),0)</f>
        <v>0</v>
      </c>
      <c r="I21" s="81">
        <f>IF(Tabela16[[#This Row],[CICLO INSPECAO]]="Terceiro Ciclo",COUNTIF(Tabela16[[#This Row],[C-01]:[C-120]],"x"),0)</f>
        <v>0</v>
      </c>
      <c r="J21" s="81">
        <f>IF(Tabela16[[#This Row],[CICLO INSPECAO]]="Quarto Ciclo",COUNTIF(Tabela16[[#This Row],[C-01]:[C-120]],"x"),0)</f>
        <v>0</v>
      </c>
      <c r="K21" s="81">
        <f>IF(Tabela16[[#This Row],[CICLO INSPECAO]]="Troca de Spindle",COUNTIF(Tabela16[[#This Row],[C-01]:[C-120]],"x"),0)</f>
        <v>0</v>
      </c>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c r="CY21" s="44"/>
      <c r="CZ21" s="44"/>
      <c r="DA21" s="44"/>
      <c r="DB21" s="44"/>
      <c r="DC21" s="44"/>
      <c r="DD21" s="44"/>
      <c r="DE21" s="44"/>
      <c r="DF21" s="44"/>
      <c r="DG21" s="44"/>
      <c r="DH21" s="44"/>
      <c r="DI21" s="44"/>
      <c r="DJ21" s="44"/>
      <c r="DK21" s="44"/>
      <c r="DL21" s="44"/>
      <c r="DM21" s="44"/>
      <c r="DN21" s="44"/>
      <c r="DO21" s="44"/>
      <c r="DP21" s="44"/>
      <c r="DQ21" s="44"/>
      <c r="DR21" s="44"/>
      <c r="DS21" s="44"/>
      <c r="DT21" s="44"/>
      <c r="DU21" s="44"/>
      <c r="DV21" s="44"/>
      <c r="DW21" s="44"/>
      <c r="DX21" s="44"/>
      <c r="DY21" s="44"/>
      <c r="DZ21" s="44"/>
      <c r="EA21" s="44"/>
    </row>
    <row r="22" spans="1:131" x14ac:dyDescent="0.3">
      <c r="A22" s="79">
        <v>45784</v>
      </c>
      <c r="B22" s="76" t="s">
        <v>86</v>
      </c>
      <c r="C22" s="76" t="s">
        <v>82</v>
      </c>
      <c r="D22" s="76" t="s">
        <v>216</v>
      </c>
      <c r="E22" s="76">
        <v>0</v>
      </c>
      <c r="F22" s="76" t="s">
        <v>72</v>
      </c>
      <c r="G22" s="76">
        <f>IF(Tabela16[[#This Row],[CICLO INSPECAO]]="Primeiro Ciclo",COUNTIF(Tabela16[[#This Row],[C-01]:[C-120]],"x"),0)</f>
        <v>0</v>
      </c>
      <c r="H22" s="76">
        <f>IF(Tabela16[[#This Row],[CICLO INSPECAO]]="Segundo Ciclo",COUNTIF(Tabela16[[#This Row],[C-01]:[C-120]],"x"),0)</f>
        <v>0</v>
      </c>
      <c r="I22" s="76">
        <f>IF(Tabela16[[#This Row],[CICLO INSPECAO]]="Terceiro Ciclo",COUNTIF(Tabela16[[#This Row],[C-01]:[C-120]],"x"),0)</f>
        <v>0</v>
      </c>
      <c r="J22" s="76">
        <f>IF(Tabela16[[#This Row],[CICLO INSPECAO]]="Quarto Ciclo",COUNTIF(Tabela16[[#This Row],[C-01]:[C-120]],"x"),0)</f>
        <v>0</v>
      </c>
      <c r="K22" s="76">
        <f>IF(Tabela16[[#This Row],[CICLO INSPECAO]]="Troca de Spindle",COUNTIF(Tabela16[[#This Row],[C-01]:[C-120]],"x"),0)</f>
        <v>0</v>
      </c>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row>
    <row r="23" spans="1:131" x14ac:dyDescent="0.3">
      <c r="A23" s="79">
        <v>45443</v>
      </c>
      <c r="B23" s="76">
        <v>67180</v>
      </c>
      <c r="C23" s="76" t="s">
        <v>82</v>
      </c>
      <c r="D23" s="76" t="s">
        <v>217</v>
      </c>
      <c r="E23" s="76">
        <v>20</v>
      </c>
      <c r="F23" s="76" t="s">
        <v>17</v>
      </c>
      <c r="G23" s="76">
        <f>IF(Tabela16[[#This Row],[CICLO INSPECAO]]="Primeiro Ciclo",COUNTIF(Tabela16[[#This Row],[C-01]:[C-120]],"x"),0)</f>
        <v>2</v>
      </c>
      <c r="H23" s="76">
        <f>IF(Tabela16[[#This Row],[CICLO INSPECAO]]="Segundo Ciclo",COUNTIF(Tabela16[[#This Row],[C-01]:[C-120]],"x"),0)</f>
        <v>0</v>
      </c>
      <c r="I23" s="76">
        <f>IF(Tabela16[[#This Row],[CICLO INSPECAO]]="Terceiro Ciclo",COUNTIF(Tabela16[[#This Row],[C-01]:[C-120]],"x"),0)</f>
        <v>0</v>
      </c>
      <c r="J23" s="76">
        <f>IF(Tabela16[[#This Row],[CICLO INSPECAO]]="Quarto Ciclo",COUNTIF(Tabela16[[#This Row],[C-01]:[C-120]],"x"),0)</f>
        <v>0</v>
      </c>
      <c r="K23" s="76">
        <f>IF(Tabela16[[#This Row],[CICLO INSPECAO]]="Troca de Spindle",COUNTIF(Tabela16[[#This Row],[C-01]:[C-120]],"x"),0)</f>
        <v>0</v>
      </c>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t="s">
        <v>351</v>
      </c>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t="s">
        <v>351</v>
      </c>
      <c r="DH23" s="7"/>
      <c r="DI23" s="7"/>
      <c r="DJ23" s="7"/>
      <c r="DK23" s="7"/>
      <c r="DL23" s="7"/>
      <c r="DM23" s="7"/>
      <c r="DN23" s="7"/>
      <c r="DO23" s="7"/>
      <c r="DP23" s="7"/>
      <c r="DQ23" s="7"/>
      <c r="DR23" s="7"/>
      <c r="DS23" s="7"/>
      <c r="DT23" s="7"/>
      <c r="DU23" s="7"/>
      <c r="DV23" s="7"/>
      <c r="DW23" s="7"/>
      <c r="DX23" s="7"/>
      <c r="DY23" s="7"/>
      <c r="DZ23" s="7"/>
      <c r="EA23" s="7"/>
    </row>
    <row r="24" spans="1:131" x14ac:dyDescent="0.3">
      <c r="A24" s="80">
        <v>45615</v>
      </c>
      <c r="B24" s="81" t="s">
        <v>86</v>
      </c>
      <c r="C24" s="81" t="s">
        <v>82</v>
      </c>
      <c r="D24" s="81" t="s">
        <v>217</v>
      </c>
      <c r="E24" s="81">
        <v>0</v>
      </c>
      <c r="F24" s="81" t="s">
        <v>71</v>
      </c>
      <c r="G24" s="81">
        <f>IF(Tabela16[[#This Row],[CICLO INSPECAO]]="Primeiro Ciclo",COUNTIF(Tabela16[[#This Row],[C-01]:[C-120]],"x"),0)</f>
        <v>0</v>
      </c>
      <c r="H24" s="81">
        <f>IF(Tabela16[[#This Row],[CICLO INSPECAO]]="Segundo Ciclo",COUNTIF(Tabela16[[#This Row],[C-01]:[C-120]],"x"),0)</f>
        <v>0</v>
      </c>
      <c r="I24" s="81">
        <f>IF(Tabela16[[#This Row],[CICLO INSPECAO]]="Terceiro Ciclo",COUNTIF(Tabela16[[#This Row],[C-01]:[C-120]],"x"),0)</f>
        <v>0</v>
      </c>
      <c r="J24" s="81">
        <f>IF(Tabela16[[#This Row],[CICLO INSPECAO]]="Quarto Ciclo",COUNTIF(Tabela16[[#This Row],[C-01]:[C-120]],"x"),0)</f>
        <v>0</v>
      </c>
      <c r="K24" s="81">
        <f>IF(Tabela16[[#This Row],[CICLO INSPECAO]]="Troca de Spindle",COUNTIF(Tabela16[[#This Row],[C-01]:[C-120]],"x"),0)</f>
        <v>0</v>
      </c>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4"/>
      <c r="CE24" s="44"/>
      <c r="CF24" s="44"/>
      <c r="CG24" s="44"/>
      <c r="CH24" s="44"/>
      <c r="CI24" s="44"/>
      <c r="CJ24" s="44"/>
      <c r="CK24" s="44"/>
      <c r="CL24" s="44"/>
      <c r="CM24" s="44"/>
      <c r="CN24" s="44"/>
      <c r="CO24" s="44"/>
      <c r="CP24" s="44"/>
      <c r="CQ24" s="44"/>
      <c r="CR24" s="44"/>
      <c r="CS24" s="44"/>
      <c r="CT24" s="44"/>
      <c r="CU24" s="44"/>
      <c r="CV24" s="44"/>
      <c r="CW24" s="44"/>
      <c r="CX24" s="44"/>
      <c r="CY24" s="44"/>
      <c r="CZ24" s="44"/>
      <c r="DA24" s="44"/>
      <c r="DB24" s="44"/>
      <c r="DC24" s="44"/>
      <c r="DD24" s="44"/>
      <c r="DE24" s="44"/>
      <c r="DF24" s="44"/>
      <c r="DG24" s="44"/>
      <c r="DH24" s="44"/>
      <c r="DI24" s="44"/>
      <c r="DJ24" s="44"/>
      <c r="DK24" s="44"/>
      <c r="DL24" s="44"/>
      <c r="DM24" s="44"/>
      <c r="DN24" s="44"/>
      <c r="DO24" s="44"/>
      <c r="DP24" s="44"/>
      <c r="DQ24" s="44"/>
      <c r="DR24" s="44"/>
      <c r="DS24" s="44"/>
      <c r="DT24" s="44"/>
      <c r="DU24" s="44"/>
      <c r="DV24" s="44"/>
      <c r="DW24" s="44"/>
      <c r="DX24" s="44"/>
      <c r="DY24" s="44"/>
      <c r="DZ24" s="44"/>
      <c r="EA24" s="44"/>
    </row>
    <row r="25" spans="1:131" x14ac:dyDescent="0.3">
      <c r="A25" s="79">
        <v>45786</v>
      </c>
      <c r="B25" s="76" t="s">
        <v>86</v>
      </c>
      <c r="C25" s="76" t="s">
        <v>82</v>
      </c>
      <c r="D25" s="76" t="s">
        <v>217</v>
      </c>
      <c r="E25" s="76">
        <v>0</v>
      </c>
      <c r="F25" s="76" t="s">
        <v>72</v>
      </c>
      <c r="G25" s="76">
        <f>IF(Tabela16[[#This Row],[CICLO INSPECAO]]="Primeiro Ciclo",COUNTIF(Tabela16[[#This Row],[C-01]:[C-120]],"x"),0)</f>
        <v>0</v>
      </c>
      <c r="H25" s="76">
        <f>IF(Tabela16[[#This Row],[CICLO INSPECAO]]="Segundo Ciclo",COUNTIF(Tabela16[[#This Row],[C-01]:[C-120]],"x"),0)</f>
        <v>0</v>
      </c>
      <c r="I25" s="76">
        <f>IF(Tabela16[[#This Row],[CICLO INSPECAO]]="Terceiro Ciclo",COUNTIF(Tabela16[[#This Row],[C-01]:[C-120]],"x"),0)</f>
        <v>0</v>
      </c>
      <c r="J25" s="76">
        <f>IF(Tabela16[[#This Row],[CICLO INSPECAO]]="Quarto Ciclo",COUNTIF(Tabela16[[#This Row],[C-01]:[C-120]],"x"),0)</f>
        <v>0</v>
      </c>
      <c r="K25" s="76">
        <f>IF(Tabela16[[#This Row],[CICLO INSPECAO]]="Troca de Spindle",COUNTIF(Tabela16[[#This Row],[C-01]:[C-120]],"x"),0)</f>
        <v>0</v>
      </c>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row>
    <row r="26" spans="1:131" x14ac:dyDescent="0.3">
      <c r="A26" s="79">
        <v>45446</v>
      </c>
      <c r="B26" s="76" t="s">
        <v>86</v>
      </c>
      <c r="C26" s="76" t="s">
        <v>82</v>
      </c>
      <c r="D26" s="76" t="s">
        <v>218</v>
      </c>
      <c r="E26" s="76">
        <v>0</v>
      </c>
      <c r="F26" s="76" t="s">
        <v>17</v>
      </c>
      <c r="G26" s="76">
        <f>IF(Tabela16[[#This Row],[CICLO INSPECAO]]="Primeiro Ciclo",COUNTIF(Tabela16[[#This Row],[C-01]:[C-120]],"x"),0)</f>
        <v>0</v>
      </c>
      <c r="H26" s="76">
        <f>IF(Tabela16[[#This Row],[CICLO INSPECAO]]="Segundo Ciclo",COUNTIF(Tabela16[[#This Row],[C-01]:[C-120]],"x"),0)</f>
        <v>0</v>
      </c>
      <c r="I26" s="76">
        <f>IF(Tabela16[[#This Row],[CICLO INSPECAO]]="Terceiro Ciclo",COUNTIF(Tabela16[[#This Row],[C-01]:[C-120]],"x"),0)</f>
        <v>0</v>
      </c>
      <c r="J26" s="76">
        <f>IF(Tabela16[[#This Row],[CICLO INSPECAO]]="Quarto Ciclo",COUNTIF(Tabela16[[#This Row],[C-01]:[C-120]],"x"),0)</f>
        <v>0</v>
      </c>
      <c r="K26" s="76">
        <f>IF(Tabela16[[#This Row],[CICLO INSPECAO]]="Troca de Spindle",COUNTIF(Tabela16[[#This Row],[C-01]:[C-120]],"x"),0)</f>
        <v>0</v>
      </c>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row>
    <row r="27" spans="1:131" x14ac:dyDescent="0.3">
      <c r="A27" s="80">
        <v>45624</v>
      </c>
      <c r="B27" s="81" t="s">
        <v>86</v>
      </c>
      <c r="C27" s="81" t="s">
        <v>82</v>
      </c>
      <c r="D27" s="81" t="s">
        <v>218</v>
      </c>
      <c r="E27" s="81">
        <v>0</v>
      </c>
      <c r="F27" s="81" t="s">
        <v>71</v>
      </c>
      <c r="G27" s="81">
        <f>IF(Tabela16[[#This Row],[CICLO INSPECAO]]="Primeiro Ciclo",COUNTIF(Tabela16[[#This Row],[C-01]:[C-120]],"x"),0)</f>
        <v>0</v>
      </c>
      <c r="H27" s="81">
        <f>IF(Tabela16[[#This Row],[CICLO INSPECAO]]="Segundo Ciclo",COUNTIF(Tabela16[[#This Row],[C-01]:[C-120]],"x"),0)</f>
        <v>0</v>
      </c>
      <c r="I27" s="81">
        <f>IF(Tabela16[[#This Row],[CICLO INSPECAO]]="Terceiro Ciclo",COUNTIF(Tabela16[[#This Row],[C-01]:[C-120]],"x"),0)</f>
        <v>0</v>
      </c>
      <c r="J27" s="81">
        <f>IF(Tabela16[[#This Row],[CICLO INSPECAO]]="Quarto Ciclo",COUNTIF(Tabela16[[#This Row],[C-01]:[C-120]],"x"),0)</f>
        <v>0</v>
      </c>
      <c r="K27" s="81">
        <f>IF(Tabela16[[#This Row],[CICLO INSPECAO]]="Troca de Spindle",COUNTIF(Tabela16[[#This Row],[C-01]:[C-120]],"x"),0)</f>
        <v>0</v>
      </c>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c r="CV27" s="44"/>
      <c r="CW27" s="44"/>
      <c r="CX27" s="44"/>
      <c r="CY27" s="44"/>
      <c r="CZ27" s="44"/>
      <c r="DA27" s="44"/>
      <c r="DB27" s="44"/>
      <c r="DC27" s="44"/>
      <c r="DD27" s="44"/>
      <c r="DE27" s="44"/>
      <c r="DF27" s="44"/>
      <c r="DG27" s="44"/>
      <c r="DH27" s="44"/>
      <c r="DI27" s="44"/>
      <c r="DJ27" s="44"/>
      <c r="DK27" s="44"/>
      <c r="DL27" s="44"/>
      <c r="DM27" s="44"/>
      <c r="DN27" s="44"/>
      <c r="DO27" s="44"/>
      <c r="DP27" s="44"/>
      <c r="DQ27" s="44"/>
      <c r="DR27" s="44"/>
      <c r="DS27" s="44"/>
      <c r="DT27" s="44"/>
      <c r="DU27" s="44"/>
      <c r="DV27" s="44"/>
      <c r="DW27" s="44"/>
      <c r="DX27" s="44"/>
      <c r="DY27" s="44"/>
      <c r="DZ27" s="44"/>
      <c r="EA27" s="44"/>
    </row>
    <row r="28" spans="1:131" x14ac:dyDescent="0.3">
      <c r="A28" s="79">
        <v>45446</v>
      </c>
      <c r="B28" s="76">
        <v>67257</v>
      </c>
      <c r="C28" s="76" t="s">
        <v>82</v>
      </c>
      <c r="D28" s="76" t="s">
        <v>219</v>
      </c>
      <c r="E28" s="76">
        <v>20</v>
      </c>
      <c r="F28" s="76" t="s">
        <v>17</v>
      </c>
      <c r="G28" s="76">
        <f>IF(Tabela16[[#This Row],[CICLO INSPECAO]]="Primeiro Ciclo",COUNTIF(Tabela16[[#This Row],[C-01]:[C-120]],"x"),0)</f>
        <v>2</v>
      </c>
      <c r="H28" s="76">
        <f>IF(Tabela16[[#This Row],[CICLO INSPECAO]]="Segundo Ciclo",COUNTIF(Tabela16[[#This Row],[C-01]:[C-120]],"x"),0)</f>
        <v>0</v>
      </c>
      <c r="I28" s="76">
        <f>IF(Tabela16[[#This Row],[CICLO INSPECAO]]="Terceiro Ciclo",COUNTIF(Tabela16[[#This Row],[C-01]:[C-120]],"x"),0)</f>
        <v>0</v>
      </c>
      <c r="J28" s="76">
        <f>IF(Tabela16[[#This Row],[CICLO INSPECAO]]="Quarto Ciclo",COUNTIF(Tabela16[[#This Row],[C-01]:[C-120]],"x"),0)</f>
        <v>0</v>
      </c>
      <c r="K28" s="76">
        <f>IF(Tabela16[[#This Row],[CICLO INSPECAO]]="Troca de Spindle",COUNTIF(Tabela16[[#This Row],[C-01]:[C-120]],"x"),0)</f>
        <v>0</v>
      </c>
      <c r="L28" s="7"/>
      <c r="M28" s="7"/>
      <c r="N28" s="7"/>
      <c r="O28" s="7"/>
      <c r="P28" s="7"/>
      <c r="Q28" s="7" t="s">
        <v>351</v>
      </c>
      <c r="R28" s="7" t="s">
        <v>351</v>
      </c>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row>
    <row r="29" spans="1:131" x14ac:dyDescent="0.3">
      <c r="A29" s="80">
        <v>45626</v>
      </c>
      <c r="B29" s="81" t="s">
        <v>86</v>
      </c>
      <c r="C29" s="81" t="s">
        <v>82</v>
      </c>
      <c r="D29" s="81" t="s">
        <v>219</v>
      </c>
      <c r="E29" s="81">
        <v>0</v>
      </c>
      <c r="F29" s="81" t="s">
        <v>71</v>
      </c>
      <c r="G29" s="81">
        <f>IF(Tabela16[[#This Row],[CICLO INSPECAO]]="Primeiro Ciclo",COUNTIF(Tabela16[[#This Row],[C-01]:[C-120]],"x"),0)</f>
        <v>0</v>
      </c>
      <c r="H29" s="81">
        <f>IF(Tabela16[[#This Row],[CICLO INSPECAO]]="Segundo Ciclo",COUNTIF(Tabela16[[#This Row],[C-01]:[C-120]],"x"),0)</f>
        <v>0</v>
      </c>
      <c r="I29" s="81">
        <f>IF(Tabela16[[#This Row],[CICLO INSPECAO]]="Terceiro Ciclo",COUNTIF(Tabela16[[#This Row],[C-01]:[C-120]],"x"),0)</f>
        <v>0</v>
      </c>
      <c r="J29" s="81">
        <f>IF(Tabela16[[#This Row],[CICLO INSPECAO]]="Quarto Ciclo",COUNTIF(Tabela16[[#This Row],[C-01]:[C-120]],"x"),0)</f>
        <v>0</v>
      </c>
      <c r="K29" s="81">
        <f>IF(Tabela16[[#This Row],[CICLO INSPECAO]]="Troca de Spindle",COUNTIF(Tabela16[[#This Row],[C-01]:[C-120]],"x"),0)</f>
        <v>0</v>
      </c>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M29" s="44"/>
      <c r="CN29" s="44"/>
      <c r="CO29" s="44"/>
      <c r="CP29" s="44"/>
      <c r="CQ29" s="44"/>
      <c r="CR29" s="44"/>
      <c r="CS29" s="44"/>
      <c r="CT29" s="44"/>
      <c r="CU29" s="44"/>
      <c r="CV29" s="44"/>
      <c r="CW29" s="44"/>
      <c r="CX29" s="44"/>
      <c r="CY29" s="44"/>
      <c r="CZ29" s="44"/>
      <c r="DA29" s="44"/>
      <c r="DB29" s="44"/>
      <c r="DC29" s="44"/>
      <c r="DD29" s="44"/>
      <c r="DE29" s="44"/>
      <c r="DF29" s="44"/>
      <c r="DG29" s="44"/>
      <c r="DH29" s="44"/>
      <c r="DI29" s="44"/>
      <c r="DJ29" s="44"/>
      <c r="DK29" s="44"/>
      <c r="DL29" s="44"/>
      <c r="DM29" s="44"/>
      <c r="DN29" s="44"/>
      <c r="DO29" s="44"/>
      <c r="DP29" s="44"/>
      <c r="DQ29" s="44"/>
      <c r="DR29" s="44"/>
      <c r="DS29" s="44"/>
      <c r="DT29" s="44"/>
      <c r="DU29" s="44"/>
      <c r="DV29" s="44"/>
      <c r="DW29" s="44"/>
      <c r="DX29" s="44"/>
      <c r="DY29" s="44"/>
      <c r="DZ29" s="44"/>
      <c r="EA29" s="44"/>
    </row>
    <row r="30" spans="1:131" x14ac:dyDescent="0.3">
      <c r="A30" s="79">
        <v>45789</v>
      </c>
      <c r="B30" s="76" t="s">
        <v>86</v>
      </c>
      <c r="C30" s="76" t="s">
        <v>82</v>
      </c>
      <c r="D30" s="76" t="s">
        <v>219</v>
      </c>
      <c r="E30" s="76">
        <v>0</v>
      </c>
      <c r="F30" s="76" t="s">
        <v>72</v>
      </c>
      <c r="G30" s="76">
        <f>IF(Tabela16[[#This Row],[CICLO INSPECAO]]="Primeiro Ciclo",COUNTIF(Tabela16[[#This Row],[C-01]:[C-120]],"x"),0)</f>
        <v>0</v>
      </c>
      <c r="H30" s="76">
        <f>IF(Tabela16[[#This Row],[CICLO INSPECAO]]="Segundo Ciclo",COUNTIF(Tabela16[[#This Row],[C-01]:[C-120]],"x"),0)</f>
        <v>0</v>
      </c>
      <c r="I30" s="76">
        <f>IF(Tabela16[[#This Row],[CICLO INSPECAO]]="Terceiro Ciclo",COUNTIF(Tabela16[[#This Row],[C-01]:[C-120]],"x"),0)</f>
        <v>0</v>
      </c>
      <c r="J30" s="76">
        <f>IF(Tabela16[[#This Row],[CICLO INSPECAO]]="Quarto Ciclo",COUNTIF(Tabela16[[#This Row],[C-01]:[C-120]],"x"),0)</f>
        <v>0</v>
      </c>
      <c r="K30" s="76">
        <f>IF(Tabela16[[#This Row],[CICLO INSPECAO]]="Troca de Spindle",COUNTIF(Tabela16[[#This Row],[C-01]:[C-120]],"x"),0)</f>
        <v>0</v>
      </c>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row>
    <row r="31" spans="1:131" x14ac:dyDescent="0.3">
      <c r="A31" s="79">
        <v>45447</v>
      </c>
      <c r="B31" s="76" t="s">
        <v>86</v>
      </c>
      <c r="C31" s="76" t="s">
        <v>82</v>
      </c>
      <c r="D31" s="76" t="s">
        <v>220</v>
      </c>
      <c r="E31" s="76">
        <v>0</v>
      </c>
      <c r="F31" s="76" t="s">
        <v>17</v>
      </c>
      <c r="G31" s="76">
        <f>IF(Tabela16[[#This Row],[CICLO INSPECAO]]="Primeiro Ciclo",COUNTIF(Tabela16[[#This Row],[C-01]:[C-120]],"x"),0)</f>
        <v>0</v>
      </c>
      <c r="H31" s="76">
        <f>IF(Tabela16[[#This Row],[CICLO INSPECAO]]="Segundo Ciclo",COUNTIF(Tabela16[[#This Row],[C-01]:[C-120]],"x"),0)</f>
        <v>0</v>
      </c>
      <c r="I31" s="76">
        <f>IF(Tabela16[[#This Row],[CICLO INSPECAO]]="Terceiro Ciclo",COUNTIF(Tabela16[[#This Row],[C-01]:[C-120]],"x"),0)</f>
        <v>0</v>
      </c>
      <c r="J31" s="76">
        <f>IF(Tabela16[[#This Row],[CICLO INSPECAO]]="Quarto Ciclo",COUNTIF(Tabela16[[#This Row],[C-01]:[C-120]],"x"),0)</f>
        <v>0</v>
      </c>
      <c r="K31" s="76">
        <f>IF(Tabela16[[#This Row],[CICLO INSPECAO]]="Troca de Spindle",COUNTIF(Tabela16[[#This Row],[C-01]:[C-120]],"x"),0)</f>
        <v>0</v>
      </c>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row>
    <row r="32" spans="1:131" x14ac:dyDescent="0.3">
      <c r="A32" s="79">
        <v>45617</v>
      </c>
      <c r="B32" s="76" t="s">
        <v>86</v>
      </c>
      <c r="C32" s="76" t="s">
        <v>82</v>
      </c>
      <c r="D32" s="76" t="s">
        <v>220</v>
      </c>
      <c r="E32" s="76">
        <v>0</v>
      </c>
      <c r="F32" s="76" t="s">
        <v>71</v>
      </c>
      <c r="G32" s="76">
        <f>IF(Tabela16[[#This Row],[CICLO INSPECAO]]="Primeiro Ciclo",COUNTIF(Tabela16[[#This Row],[C-01]:[C-120]],"x"),0)</f>
        <v>0</v>
      </c>
      <c r="H32" s="76">
        <f>IF(Tabela16[[#This Row],[CICLO INSPECAO]]="Segundo Ciclo",COUNTIF(Tabela16[[#This Row],[C-01]:[C-120]],"x"),0)</f>
        <v>0</v>
      </c>
      <c r="I32" s="76">
        <f>IF(Tabela16[[#This Row],[CICLO INSPECAO]]="Terceiro Ciclo",COUNTIF(Tabela16[[#This Row],[C-01]:[C-120]],"x"),0)</f>
        <v>0</v>
      </c>
      <c r="J32" s="76">
        <f>IF(Tabela16[[#This Row],[CICLO INSPECAO]]="Quarto Ciclo",COUNTIF(Tabela16[[#This Row],[C-01]:[C-120]],"x"),0)</f>
        <v>0</v>
      </c>
      <c r="K32" s="76">
        <f>IF(Tabela16[[#This Row],[CICLO INSPECAO]]="Troca de Spindle",COUNTIF(Tabela16[[#This Row],[C-01]:[C-120]],"x"),0)</f>
        <v>0</v>
      </c>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row>
    <row r="33" spans="1:131" x14ac:dyDescent="0.3">
      <c r="A33" s="79">
        <v>45790</v>
      </c>
      <c r="B33" s="76" t="s">
        <v>86</v>
      </c>
      <c r="C33" s="76" t="s">
        <v>82</v>
      </c>
      <c r="D33" s="76" t="s">
        <v>220</v>
      </c>
      <c r="E33" s="76">
        <v>0</v>
      </c>
      <c r="F33" s="76" t="s">
        <v>72</v>
      </c>
      <c r="G33" s="76">
        <f>IF(Tabela16[[#This Row],[CICLO INSPECAO]]="Primeiro Ciclo",COUNTIF(Tabela16[[#This Row],[C-01]:[C-120]],"x"),0)</f>
        <v>0</v>
      </c>
      <c r="H33" s="76">
        <f>IF(Tabela16[[#This Row],[CICLO INSPECAO]]="Segundo Ciclo",COUNTIF(Tabela16[[#This Row],[C-01]:[C-120]],"x"),0)</f>
        <v>0</v>
      </c>
      <c r="I33" s="76">
        <f>IF(Tabela16[[#This Row],[CICLO INSPECAO]]="Terceiro Ciclo",COUNTIF(Tabela16[[#This Row],[C-01]:[C-120]],"x"),0)</f>
        <v>0</v>
      </c>
      <c r="J33" s="76">
        <f>IF(Tabela16[[#This Row],[CICLO INSPECAO]]="Quarto Ciclo",COUNTIF(Tabela16[[#This Row],[C-01]:[C-120]],"x"),0)</f>
        <v>0</v>
      </c>
      <c r="K33" s="76">
        <f>IF(Tabela16[[#This Row],[CICLO INSPECAO]]="Troca de Spindle",COUNTIF(Tabela16[[#This Row],[C-01]:[C-120]],"x"),0)</f>
        <v>0</v>
      </c>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row>
    <row r="34" spans="1:131" x14ac:dyDescent="0.3">
      <c r="A34" s="79">
        <v>45447</v>
      </c>
      <c r="B34" s="76">
        <v>67315</v>
      </c>
      <c r="C34" s="76" t="s">
        <v>82</v>
      </c>
      <c r="D34" s="76" t="s">
        <v>221</v>
      </c>
      <c r="E34" s="76">
        <v>50</v>
      </c>
      <c r="F34" s="76" t="s">
        <v>17</v>
      </c>
      <c r="G34" s="76">
        <f>IF(Tabela16[[#This Row],[CICLO INSPECAO]]="Primeiro Ciclo",COUNTIF(Tabela16[[#This Row],[C-01]:[C-120]],"x"),0)</f>
        <v>5</v>
      </c>
      <c r="H34" s="76">
        <f>IF(Tabela16[[#This Row],[CICLO INSPECAO]]="Segundo Ciclo",COUNTIF(Tabela16[[#This Row],[C-01]:[C-120]],"x"),0)</f>
        <v>0</v>
      </c>
      <c r="I34" s="76">
        <f>IF(Tabela16[[#This Row],[CICLO INSPECAO]]="Terceiro Ciclo",COUNTIF(Tabela16[[#This Row],[C-01]:[C-120]],"x"),0)</f>
        <v>0</v>
      </c>
      <c r="J34" s="76">
        <f>IF(Tabela16[[#This Row],[CICLO INSPECAO]]="Quarto Ciclo",COUNTIF(Tabela16[[#This Row],[C-01]:[C-120]],"x"),0)</f>
        <v>0</v>
      </c>
      <c r="K34" s="76">
        <f>IF(Tabela16[[#This Row],[CICLO INSPECAO]]="Troca de Spindle",COUNTIF(Tabela16[[#This Row],[C-01]:[C-120]],"x"),0)</f>
        <v>0</v>
      </c>
      <c r="L34" s="7"/>
      <c r="M34" s="7"/>
      <c r="N34" s="7"/>
      <c r="O34" s="7"/>
      <c r="P34" s="7" t="s">
        <v>351</v>
      </c>
      <c r="Q34" s="7" t="s">
        <v>351</v>
      </c>
      <c r="R34" s="7" t="s">
        <v>351</v>
      </c>
      <c r="S34" s="7"/>
      <c r="T34" s="7"/>
      <c r="U34" s="7"/>
      <c r="V34" s="7"/>
      <c r="W34" s="7"/>
      <c r="X34" s="7"/>
      <c r="Y34" s="7"/>
      <c r="Z34" s="7"/>
      <c r="AA34" s="7"/>
      <c r="AB34" s="7"/>
      <c r="AC34" s="7"/>
      <c r="AD34" s="7"/>
      <c r="AE34" s="7"/>
      <c r="AF34" s="7"/>
      <c r="AG34" s="7"/>
      <c r="AH34" s="7"/>
      <c r="AI34" s="7" t="s">
        <v>351</v>
      </c>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t="s">
        <v>351</v>
      </c>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row>
    <row r="35" spans="1:131" x14ac:dyDescent="0.3">
      <c r="A35" s="80">
        <v>45625</v>
      </c>
      <c r="B35" s="81" t="s">
        <v>86</v>
      </c>
      <c r="C35" s="81" t="s">
        <v>82</v>
      </c>
      <c r="D35" s="81" t="s">
        <v>221</v>
      </c>
      <c r="E35" s="81">
        <v>0</v>
      </c>
      <c r="F35" s="81" t="s">
        <v>71</v>
      </c>
      <c r="G35" s="81">
        <f>IF(Tabela16[[#This Row],[CICLO INSPECAO]]="Primeiro Ciclo",COUNTIF(Tabela16[[#This Row],[C-01]:[C-120]],"x"),0)</f>
        <v>0</v>
      </c>
      <c r="H35" s="81">
        <f>IF(Tabela16[[#This Row],[CICLO INSPECAO]]="Segundo Ciclo",COUNTIF(Tabela16[[#This Row],[C-01]:[C-120]],"x"),0)</f>
        <v>0</v>
      </c>
      <c r="I35" s="81">
        <f>IF(Tabela16[[#This Row],[CICLO INSPECAO]]="Terceiro Ciclo",COUNTIF(Tabela16[[#This Row],[C-01]:[C-120]],"x"),0)</f>
        <v>0</v>
      </c>
      <c r="J35" s="81">
        <f>IF(Tabela16[[#This Row],[CICLO INSPECAO]]="Quarto Ciclo",COUNTIF(Tabela16[[#This Row],[C-01]:[C-120]],"x"),0)</f>
        <v>0</v>
      </c>
      <c r="K35" s="81">
        <f>IF(Tabela16[[#This Row],[CICLO INSPECAO]]="Troca de Spindle",COUNTIF(Tabela16[[#This Row],[C-01]:[C-120]],"x"),0)</f>
        <v>0</v>
      </c>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c r="CU35" s="44"/>
      <c r="CV35" s="44"/>
      <c r="CW35" s="44"/>
      <c r="CX35" s="44"/>
      <c r="CY35" s="44"/>
      <c r="CZ35" s="44"/>
      <c r="DA35" s="44"/>
      <c r="DB35" s="44"/>
      <c r="DC35" s="44"/>
      <c r="DD35" s="44"/>
      <c r="DE35" s="44"/>
      <c r="DF35" s="44"/>
      <c r="DG35" s="44"/>
      <c r="DH35" s="44"/>
      <c r="DI35" s="44"/>
      <c r="DJ35" s="44"/>
      <c r="DK35" s="44"/>
      <c r="DL35" s="44"/>
      <c r="DM35" s="44"/>
      <c r="DN35" s="44"/>
      <c r="DO35" s="44"/>
      <c r="DP35" s="44"/>
      <c r="DQ35" s="44"/>
      <c r="DR35" s="44"/>
      <c r="DS35" s="44"/>
      <c r="DT35" s="44"/>
      <c r="DU35" s="44"/>
      <c r="DV35" s="44"/>
      <c r="DW35" s="44"/>
      <c r="DX35" s="44"/>
      <c r="DY35" s="44"/>
      <c r="DZ35" s="44"/>
      <c r="EA35" s="44"/>
    </row>
    <row r="36" spans="1:131" x14ac:dyDescent="0.3">
      <c r="A36" s="79">
        <v>45791</v>
      </c>
      <c r="B36" s="76" t="s">
        <v>86</v>
      </c>
      <c r="C36" s="76" t="s">
        <v>82</v>
      </c>
      <c r="D36" s="76" t="s">
        <v>221</v>
      </c>
      <c r="E36" s="76">
        <v>0</v>
      </c>
      <c r="F36" s="76" t="s">
        <v>72</v>
      </c>
      <c r="G36" s="76">
        <f>IF(Tabela16[[#This Row],[CICLO INSPECAO]]="Primeiro Ciclo",COUNTIF(Tabela16[[#This Row],[C-01]:[C-120]],"x"),0)</f>
        <v>0</v>
      </c>
      <c r="H36" s="76">
        <f>IF(Tabela16[[#This Row],[CICLO INSPECAO]]="Segundo Ciclo",COUNTIF(Tabela16[[#This Row],[C-01]:[C-120]],"x"),0)</f>
        <v>0</v>
      </c>
      <c r="I36" s="76">
        <f>IF(Tabela16[[#This Row],[CICLO INSPECAO]]="Terceiro Ciclo",COUNTIF(Tabela16[[#This Row],[C-01]:[C-120]],"x"),0)</f>
        <v>0</v>
      </c>
      <c r="J36" s="76">
        <f>IF(Tabela16[[#This Row],[CICLO INSPECAO]]="Quarto Ciclo",COUNTIF(Tabela16[[#This Row],[C-01]:[C-120]],"x"),0)</f>
        <v>0</v>
      </c>
      <c r="K36" s="76">
        <f>IF(Tabela16[[#This Row],[CICLO INSPECAO]]="Troca de Spindle",COUNTIF(Tabela16[[#This Row],[C-01]:[C-120]],"x"),0)</f>
        <v>0</v>
      </c>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row>
    <row r="37" spans="1:131" x14ac:dyDescent="0.3">
      <c r="A37" s="79">
        <v>45435</v>
      </c>
      <c r="B37" s="76" t="s">
        <v>86</v>
      </c>
      <c r="C37" s="76" t="s">
        <v>16</v>
      </c>
      <c r="D37" s="76" t="s">
        <v>182</v>
      </c>
      <c r="E37" s="76">
        <v>0</v>
      </c>
      <c r="F37" s="76" t="s">
        <v>17</v>
      </c>
      <c r="G37" s="76">
        <f>IF(Tabela16[[#This Row],[CICLO INSPECAO]]="Primeiro Ciclo",COUNTIF(Tabela16[[#This Row],[C-01]:[C-120]],"x"),0)</f>
        <v>0</v>
      </c>
      <c r="H37" s="76">
        <f>IF(Tabela16[[#This Row],[CICLO INSPECAO]]="Segundo Ciclo",COUNTIF(Tabela16[[#This Row],[C-01]:[C-120]],"x"),0)</f>
        <v>0</v>
      </c>
      <c r="I37" s="76">
        <f>IF(Tabela16[[#This Row],[CICLO INSPECAO]]="Terceiro Ciclo",COUNTIF(Tabela16[[#This Row],[C-01]:[C-120]],"x"),0)</f>
        <v>0</v>
      </c>
      <c r="J37" s="76">
        <f>IF(Tabela16[[#This Row],[CICLO INSPECAO]]="Quarto Ciclo",COUNTIF(Tabela16[[#This Row],[C-01]:[C-120]],"x"),0)</f>
        <v>0</v>
      </c>
      <c r="K37" s="76">
        <f>IF(Tabela16[[#This Row],[CICLO INSPECAO]]="Troca de Spindle",COUNTIF(Tabela16[[#This Row],[C-01]:[C-120]],"x"),0)</f>
        <v>0</v>
      </c>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row>
    <row r="38" spans="1:131" x14ac:dyDescent="0.3">
      <c r="A38" s="79">
        <v>45629</v>
      </c>
      <c r="B38" s="76" t="s">
        <v>86</v>
      </c>
      <c r="C38" s="76" t="s">
        <v>16</v>
      </c>
      <c r="D38" s="76" t="s">
        <v>182</v>
      </c>
      <c r="E38" s="76">
        <v>0</v>
      </c>
      <c r="F38" s="76" t="s">
        <v>71</v>
      </c>
      <c r="G38" s="76">
        <f>IF(Tabela16[[#This Row],[CICLO INSPECAO]]="Primeiro Ciclo",COUNTIF(Tabela16[[#This Row],[C-01]:[C-120]],"x"),0)</f>
        <v>0</v>
      </c>
      <c r="H38" s="76">
        <f>IF(Tabela16[[#This Row],[CICLO INSPECAO]]="Segundo Ciclo",COUNTIF(Tabela16[[#This Row],[C-01]:[C-120]],"x"),0)</f>
        <v>0</v>
      </c>
      <c r="I38" s="76">
        <f>IF(Tabela16[[#This Row],[CICLO INSPECAO]]="Terceiro Ciclo",COUNTIF(Tabela16[[#This Row],[C-01]:[C-120]],"x"),0)</f>
        <v>0</v>
      </c>
      <c r="J38" s="76">
        <f>IF(Tabela16[[#This Row],[CICLO INSPECAO]]="Quarto Ciclo",COUNTIF(Tabela16[[#This Row],[C-01]:[C-120]],"x"),0)</f>
        <v>0</v>
      </c>
      <c r="K38" s="76">
        <f>IF(Tabela16[[#This Row],[CICLO INSPECAO]]="Troca de Spindle",COUNTIF(Tabela16[[#This Row],[C-01]:[C-120]],"x"),0)</f>
        <v>0</v>
      </c>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row>
    <row r="39" spans="1:131" x14ac:dyDescent="0.3">
      <c r="A39" s="79">
        <v>45757</v>
      </c>
      <c r="B39" s="76" t="s">
        <v>86</v>
      </c>
      <c r="C39" s="76" t="s">
        <v>16</v>
      </c>
      <c r="D39" s="76" t="s">
        <v>182</v>
      </c>
      <c r="E39" s="76">
        <v>0</v>
      </c>
      <c r="F39" s="76" t="s">
        <v>72</v>
      </c>
      <c r="G39" s="76">
        <f>IF(Tabela16[[#This Row],[CICLO INSPECAO]]="Primeiro Ciclo",COUNTIF(Tabela16[[#This Row],[C-01]:[C-120]],"x"),0)</f>
        <v>0</v>
      </c>
      <c r="H39" s="76">
        <f>IF(Tabela16[[#This Row],[CICLO INSPECAO]]="Segundo Ciclo",COUNTIF(Tabela16[[#This Row],[C-01]:[C-120]],"x"),0)</f>
        <v>0</v>
      </c>
      <c r="I39" s="76">
        <f>IF(Tabela16[[#This Row],[CICLO INSPECAO]]="Terceiro Ciclo",COUNTIF(Tabela16[[#This Row],[C-01]:[C-120]],"x"),0)</f>
        <v>0</v>
      </c>
      <c r="J39" s="76">
        <f>IF(Tabela16[[#This Row],[CICLO INSPECAO]]="Quarto Ciclo",COUNTIF(Tabela16[[#This Row],[C-01]:[C-120]],"x"),0)</f>
        <v>0</v>
      </c>
      <c r="K39" s="76">
        <f>IF(Tabela16[[#This Row],[CICLO INSPECAO]]="Troca de Spindle",COUNTIF(Tabela16[[#This Row],[C-01]:[C-120]],"x"),0)</f>
        <v>0</v>
      </c>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row>
    <row r="40" spans="1:131" x14ac:dyDescent="0.3">
      <c r="A40" s="79">
        <v>45440</v>
      </c>
      <c r="B40" s="76">
        <v>67108</v>
      </c>
      <c r="C40" s="76" t="s">
        <v>82</v>
      </c>
      <c r="D40" s="76" t="s">
        <v>222</v>
      </c>
      <c r="E40" s="76">
        <v>50</v>
      </c>
      <c r="F40" s="76" t="s">
        <v>17</v>
      </c>
      <c r="G40" s="76">
        <f>IF(Tabela16[[#This Row],[CICLO INSPECAO]]="Primeiro Ciclo",COUNTIF(Tabela16[[#This Row],[C-01]:[C-120]],"x"),0)</f>
        <v>5</v>
      </c>
      <c r="H40" s="76">
        <f>IF(Tabela16[[#This Row],[CICLO INSPECAO]]="Segundo Ciclo",COUNTIF(Tabela16[[#This Row],[C-01]:[C-120]],"x"),0)</f>
        <v>0</v>
      </c>
      <c r="I40" s="76">
        <f>IF(Tabela16[[#This Row],[CICLO INSPECAO]]="Terceiro Ciclo",COUNTIF(Tabela16[[#This Row],[C-01]:[C-120]],"x"),0)</f>
        <v>0</v>
      </c>
      <c r="J40" s="76">
        <f>IF(Tabela16[[#This Row],[CICLO INSPECAO]]="Quarto Ciclo",COUNTIF(Tabela16[[#This Row],[C-01]:[C-120]],"x"),0)</f>
        <v>0</v>
      </c>
      <c r="K40" s="76">
        <f>IF(Tabela16[[#This Row],[CICLO INSPECAO]]="Troca de Spindle",COUNTIF(Tabela16[[#This Row],[C-01]:[C-120]],"x"),0)</f>
        <v>0</v>
      </c>
      <c r="L40" s="37"/>
      <c r="M40" s="37" t="s">
        <v>351</v>
      </c>
      <c r="N40" s="37" t="s">
        <v>351</v>
      </c>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t="s">
        <v>351</v>
      </c>
      <c r="AQ40" s="37" t="s">
        <v>351</v>
      </c>
      <c r="AR40" s="37" t="s">
        <v>351</v>
      </c>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37"/>
      <c r="DY40" s="37"/>
      <c r="DZ40" s="37"/>
      <c r="EA40" s="37"/>
    </row>
    <row r="41" spans="1:131" x14ac:dyDescent="0.3">
      <c r="A41" s="79">
        <v>45608</v>
      </c>
      <c r="B41" s="76" t="s">
        <v>86</v>
      </c>
      <c r="C41" s="76" t="s">
        <v>82</v>
      </c>
      <c r="D41" s="76" t="s">
        <v>222</v>
      </c>
      <c r="E41" s="76">
        <v>0</v>
      </c>
      <c r="F41" s="76" t="s">
        <v>71</v>
      </c>
      <c r="G41" s="76">
        <f>IF(Tabela16[[#This Row],[CICLO INSPECAO]]="Primeiro Ciclo",COUNTIF(Tabela16[[#This Row],[C-01]:[C-120]],"x"),0)</f>
        <v>0</v>
      </c>
      <c r="H41" s="76">
        <f>IF(Tabela16[[#This Row],[CICLO INSPECAO]]="Segundo Ciclo",COUNTIF(Tabela16[[#This Row],[C-01]:[C-120]],"x"),0)</f>
        <v>0</v>
      </c>
      <c r="I41" s="76">
        <f>IF(Tabela16[[#This Row],[CICLO INSPECAO]]="Terceiro Ciclo",COUNTIF(Tabela16[[#This Row],[C-01]:[C-120]],"x"),0)</f>
        <v>0</v>
      </c>
      <c r="J41" s="76">
        <f>IF(Tabela16[[#This Row],[CICLO INSPECAO]]="Quarto Ciclo",COUNTIF(Tabela16[[#This Row],[C-01]:[C-120]],"x"),0)</f>
        <v>0</v>
      </c>
      <c r="K41" s="76">
        <f>IF(Tabela16[[#This Row],[CICLO INSPECAO]]="Troca de Spindle",COUNTIF(Tabela16[[#This Row],[C-01]:[C-120]],"x"),0)</f>
        <v>0</v>
      </c>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row>
    <row r="42" spans="1:131" x14ac:dyDescent="0.3">
      <c r="A42" s="79">
        <v>45777</v>
      </c>
      <c r="B42" s="76" t="s">
        <v>86</v>
      </c>
      <c r="C42" s="76" t="s">
        <v>82</v>
      </c>
      <c r="D42" s="76" t="s">
        <v>222</v>
      </c>
      <c r="E42" s="76">
        <v>0</v>
      </c>
      <c r="F42" s="76" t="s">
        <v>72</v>
      </c>
      <c r="G42" s="76">
        <f>IF(Tabela16[[#This Row],[CICLO INSPECAO]]="Primeiro Ciclo",COUNTIF(Tabela16[[#This Row],[C-01]:[C-120]],"x"),0)</f>
        <v>0</v>
      </c>
      <c r="H42" s="76">
        <f>IF(Tabela16[[#This Row],[CICLO INSPECAO]]="Segundo Ciclo",COUNTIF(Tabela16[[#This Row],[C-01]:[C-120]],"x"),0)</f>
        <v>0</v>
      </c>
      <c r="I42" s="76">
        <f>IF(Tabela16[[#This Row],[CICLO INSPECAO]]="Terceiro Ciclo",COUNTIF(Tabela16[[#This Row],[C-01]:[C-120]],"x"),0)</f>
        <v>0</v>
      </c>
      <c r="J42" s="76">
        <f>IF(Tabela16[[#This Row],[CICLO INSPECAO]]="Quarto Ciclo",COUNTIF(Tabela16[[#This Row],[C-01]:[C-120]],"x"),0)</f>
        <v>0</v>
      </c>
      <c r="K42" s="76">
        <f>IF(Tabela16[[#This Row],[CICLO INSPECAO]]="Troca de Spindle",COUNTIF(Tabela16[[#This Row],[C-01]:[C-120]],"x"),0)</f>
        <v>0</v>
      </c>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row>
    <row r="43" spans="1:131" x14ac:dyDescent="0.3">
      <c r="A43" s="79">
        <v>45420</v>
      </c>
      <c r="B43" s="76">
        <v>66931</v>
      </c>
      <c r="C43" s="76" t="s">
        <v>82</v>
      </c>
      <c r="D43" s="76" t="s">
        <v>223</v>
      </c>
      <c r="E43" s="76">
        <v>50</v>
      </c>
      <c r="F43" s="76" t="s">
        <v>17</v>
      </c>
      <c r="G43" s="76">
        <f>IF(Tabela16[[#This Row],[CICLO INSPECAO]]="Primeiro Ciclo",COUNTIF(Tabela16[[#This Row],[C-01]:[C-120]],"x"),0)</f>
        <v>5</v>
      </c>
      <c r="H43" s="76">
        <f>IF(Tabela16[[#This Row],[CICLO INSPECAO]]="Segundo Ciclo",COUNTIF(Tabela16[[#This Row],[C-01]:[C-120]],"x"),0)</f>
        <v>0</v>
      </c>
      <c r="I43" s="76">
        <f>IF(Tabela16[[#This Row],[CICLO INSPECAO]]="Terceiro Ciclo",COUNTIF(Tabela16[[#This Row],[C-01]:[C-120]],"x"),0)</f>
        <v>0</v>
      </c>
      <c r="J43" s="76">
        <f>IF(Tabela16[[#This Row],[CICLO INSPECAO]]="Quarto Ciclo",COUNTIF(Tabela16[[#This Row],[C-01]:[C-120]],"x"),0)</f>
        <v>0</v>
      </c>
      <c r="K43" s="76">
        <f>IF(Tabela16[[#This Row],[CICLO INSPECAO]]="Troca de Spindle",COUNTIF(Tabela16[[#This Row],[C-01]:[C-120]],"x"),0)</f>
        <v>0</v>
      </c>
      <c r="L43" s="37"/>
      <c r="M43" s="37"/>
      <c r="N43" s="37"/>
      <c r="O43" s="37"/>
      <c r="P43" s="37"/>
      <c r="Q43" s="37"/>
      <c r="R43" s="37"/>
      <c r="S43" s="37"/>
      <c r="T43" s="37"/>
      <c r="U43" s="37"/>
      <c r="V43" s="37"/>
      <c r="W43" s="37"/>
      <c r="X43" s="37"/>
      <c r="Y43" s="37"/>
      <c r="Z43" s="37"/>
      <c r="AA43" s="37"/>
      <c r="AB43" s="37"/>
      <c r="AC43" s="37" t="s">
        <v>351</v>
      </c>
      <c r="AD43" s="37"/>
      <c r="AE43" s="37"/>
      <c r="AF43" s="37"/>
      <c r="AG43" s="37"/>
      <c r="AH43" s="37"/>
      <c r="AI43" s="37"/>
      <c r="AJ43" s="37"/>
      <c r="AK43" s="37"/>
      <c r="AL43" s="37"/>
      <c r="AM43" s="37"/>
      <c r="AN43" s="37"/>
      <c r="AO43" s="37"/>
      <c r="AP43" s="37" t="s">
        <v>351</v>
      </c>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t="s">
        <v>351</v>
      </c>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t="s">
        <v>351</v>
      </c>
      <c r="DH43" s="37"/>
      <c r="DI43" s="37"/>
      <c r="DJ43" s="37"/>
      <c r="DK43" s="37"/>
      <c r="DL43" s="37"/>
      <c r="DM43" s="37"/>
      <c r="DN43" s="37"/>
      <c r="DO43" s="37"/>
      <c r="DP43" s="37"/>
      <c r="DQ43" s="37"/>
      <c r="DR43" s="37"/>
      <c r="DS43" s="37"/>
      <c r="DT43" s="37" t="s">
        <v>351</v>
      </c>
      <c r="DU43" s="37"/>
      <c r="DV43" s="37"/>
      <c r="DW43" s="37"/>
      <c r="DX43" s="37"/>
      <c r="DY43" s="37"/>
      <c r="DZ43" s="37"/>
      <c r="EA43" s="37"/>
    </row>
    <row r="44" spans="1:131" x14ac:dyDescent="0.3">
      <c r="A44" s="79">
        <v>45609</v>
      </c>
      <c r="B44" s="82" t="s">
        <v>86</v>
      </c>
      <c r="C44" s="76" t="s">
        <v>82</v>
      </c>
      <c r="D44" s="76" t="s">
        <v>223</v>
      </c>
      <c r="E44" s="76">
        <v>0</v>
      </c>
      <c r="F44" s="76" t="s">
        <v>71</v>
      </c>
      <c r="G44" s="76">
        <f>IF(Tabela16[[#This Row],[CICLO INSPECAO]]="Primeiro Ciclo",COUNTIF(Tabela16[[#This Row],[C-01]:[C-120]],"x"),0)</f>
        <v>0</v>
      </c>
      <c r="H44" s="76">
        <f>IF(Tabela16[[#This Row],[CICLO INSPECAO]]="Segundo Ciclo",COUNTIF(Tabela16[[#This Row],[C-01]:[C-120]],"x"),0)</f>
        <v>0</v>
      </c>
      <c r="I44" s="76">
        <f>IF(Tabela16[[#This Row],[CICLO INSPECAO]]="Terceiro Ciclo",COUNTIF(Tabela16[[#This Row],[C-01]:[C-120]],"x"),0)</f>
        <v>0</v>
      </c>
      <c r="J44" s="76">
        <f>IF(Tabela16[[#This Row],[CICLO INSPECAO]]="Quarto Ciclo",COUNTIF(Tabela16[[#This Row],[C-01]:[C-120]],"x"),0)</f>
        <v>0</v>
      </c>
      <c r="K44" s="76">
        <f>IF(Tabela16[[#This Row],[CICLO INSPECAO]]="Troca de Spindle",COUNTIF(Tabela16[[#This Row],[C-01]:[C-120]],"x"),0)</f>
        <v>0</v>
      </c>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c r="DV44" s="37"/>
      <c r="DW44" s="37"/>
      <c r="DX44" s="37"/>
      <c r="DY44" s="37"/>
      <c r="DZ44" s="37"/>
      <c r="EA44" s="37"/>
    </row>
    <row r="45" spans="1:131" x14ac:dyDescent="0.3">
      <c r="A45" s="80">
        <v>45779</v>
      </c>
      <c r="B45" s="81" t="s">
        <v>86</v>
      </c>
      <c r="C45" s="81" t="s">
        <v>82</v>
      </c>
      <c r="D45" s="81" t="s">
        <v>223</v>
      </c>
      <c r="E45" s="81">
        <v>0</v>
      </c>
      <c r="F45" s="81" t="s">
        <v>72</v>
      </c>
      <c r="G45" s="81">
        <f>IF(Tabela16[[#This Row],[CICLO INSPECAO]]="Primeiro Ciclo",COUNTIF(Tabela16[[#This Row],[C-01]:[C-120]],"x"),0)</f>
        <v>0</v>
      </c>
      <c r="H45" s="81">
        <f>IF(Tabela16[[#This Row],[CICLO INSPECAO]]="Segundo Ciclo",COUNTIF(Tabela16[[#This Row],[C-01]:[C-120]],"x"),0)</f>
        <v>0</v>
      </c>
      <c r="I45" s="81">
        <f>IF(Tabela16[[#This Row],[CICLO INSPECAO]]="Terceiro Ciclo",COUNTIF(Tabela16[[#This Row],[C-01]:[C-120]],"x"),0)</f>
        <v>0</v>
      </c>
      <c r="J45" s="81">
        <f>IF(Tabela16[[#This Row],[CICLO INSPECAO]]="Quarto Ciclo",COUNTIF(Tabela16[[#This Row],[C-01]:[C-120]],"x"),0)</f>
        <v>0</v>
      </c>
      <c r="K45" s="81">
        <f>IF(Tabela16[[#This Row],[CICLO INSPECAO]]="Troca de Spindle",COUNTIF(Tabela16[[#This Row],[C-01]:[C-120]],"x"),0)</f>
        <v>0</v>
      </c>
      <c r="L45" s="59"/>
      <c r="M45" s="59"/>
      <c r="N45" s="59"/>
      <c r="O45" s="59"/>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c r="BC45" s="59"/>
      <c r="BD45" s="59"/>
      <c r="BE45" s="59"/>
      <c r="BF45" s="59"/>
      <c r="BG45" s="59"/>
      <c r="BH45" s="59"/>
      <c r="BI45" s="59"/>
      <c r="BJ45" s="59"/>
      <c r="BK45" s="59"/>
      <c r="BL45" s="59"/>
      <c r="BM45" s="59"/>
      <c r="BN45" s="59"/>
      <c r="BO45" s="59"/>
      <c r="BP45" s="59"/>
      <c r="BQ45" s="59"/>
      <c r="BR45" s="59"/>
      <c r="BS45" s="59"/>
      <c r="BT45" s="59"/>
      <c r="BU45" s="59"/>
      <c r="BV45" s="59"/>
      <c r="BW45" s="59"/>
      <c r="BX45" s="59"/>
      <c r="BY45" s="59"/>
      <c r="BZ45" s="59"/>
      <c r="CA45" s="59"/>
      <c r="CB45" s="59"/>
      <c r="CC45" s="59"/>
      <c r="CD45" s="59"/>
      <c r="CE45" s="59"/>
      <c r="CF45" s="59"/>
      <c r="CG45" s="59"/>
      <c r="CH45" s="59"/>
      <c r="CI45" s="59"/>
      <c r="CJ45" s="59"/>
      <c r="CK45" s="59"/>
      <c r="CL45" s="59"/>
      <c r="CM45" s="59"/>
      <c r="CN45" s="59"/>
      <c r="CO45" s="59"/>
      <c r="CP45" s="59"/>
      <c r="CQ45" s="59"/>
      <c r="CR45" s="59"/>
      <c r="CS45" s="59"/>
      <c r="CT45" s="59"/>
      <c r="CU45" s="59"/>
      <c r="CV45" s="59"/>
      <c r="CW45" s="59"/>
      <c r="CX45" s="59"/>
      <c r="CY45" s="59"/>
      <c r="CZ45" s="59"/>
      <c r="DA45" s="59"/>
      <c r="DB45" s="59"/>
      <c r="DC45" s="59"/>
      <c r="DD45" s="59"/>
      <c r="DE45" s="59"/>
      <c r="DF45" s="59"/>
      <c r="DG45" s="59"/>
      <c r="DH45" s="59"/>
      <c r="DI45" s="59"/>
      <c r="DJ45" s="59"/>
      <c r="DK45" s="59"/>
      <c r="DL45" s="59"/>
      <c r="DM45" s="59"/>
      <c r="DN45" s="59"/>
      <c r="DO45" s="59"/>
      <c r="DP45" s="59"/>
      <c r="DQ45" s="59"/>
      <c r="DR45" s="59"/>
      <c r="DS45" s="59"/>
      <c r="DT45" s="59"/>
      <c r="DU45" s="59"/>
      <c r="DV45" s="59"/>
      <c r="DW45" s="59"/>
      <c r="DX45" s="59"/>
      <c r="DY45" s="59"/>
      <c r="DZ45" s="59"/>
      <c r="EA45" s="59"/>
    </row>
    <row r="46" spans="1:131" x14ac:dyDescent="0.3">
      <c r="A46" s="79">
        <v>45439</v>
      </c>
      <c r="B46" s="76" t="s">
        <v>86</v>
      </c>
      <c r="C46" s="76" t="s">
        <v>82</v>
      </c>
      <c r="D46" s="76" t="s">
        <v>224</v>
      </c>
      <c r="E46" s="76">
        <v>0</v>
      </c>
      <c r="F46" s="76" t="s">
        <v>17</v>
      </c>
      <c r="G46" s="76">
        <f>IF(Tabela16[[#This Row],[CICLO INSPECAO]]="Primeiro Ciclo",COUNTIF(Tabela16[[#This Row],[C-01]:[C-120]],"x"),0)</f>
        <v>0</v>
      </c>
      <c r="H46" s="76">
        <f>IF(Tabela16[[#This Row],[CICLO INSPECAO]]="Segundo Ciclo",COUNTIF(Tabela16[[#This Row],[C-01]:[C-120]],"x"),0)</f>
        <v>0</v>
      </c>
      <c r="I46" s="76">
        <f>IF(Tabela16[[#This Row],[CICLO INSPECAO]]="Terceiro Ciclo",COUNTIF(Tabela16[[#This Row],[C-01]:[C-120]],"x"),0)</f>
        <v>0</v>
      </c>
      <c r="J46" s="76">
        <f>IF(Tabela16[[#This Row],[CICLO INSPECAO]]="Quarto Ciclo",COUNTIF(Tabela16[[#This Row],[C-01]:[C-120]],"x"),0)</f>
        <v>0</v>
      </c>
      <c r="K46" s="76">
        <f>IF(Tabela16[[#This Row],[CICLO INSPECAO]]="Troca de Spindle",COUNTIF(Tabela16[[#This Row],[C-01]:[C-120]],"x"),0)</f>
        <v>0</v>
      </c>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row>
    <row r="47" spans="1:131" x14ac:dyDescent="0.3">
      <c r="A47" s="79">
        <v>45609</v>
      </c>
      <c r="B47" s="76" t="s">
        <v>86</v>
      </c>
      <c r="C47" s="76" t="s">
        <v>82</v>
      </c>
      <c r="D47" s="76" t="s">
        <v>224</v>
      </c>
      <c r="E47" s="76">
        <v>0</v>
      </c>
      <c r="F47" s="76" t="s">
        <v>71</v>
      </c>
      <c r="G47" s="76">
        <f>IF(Tabela16[[#This Row],[CICLO INSPECAO]]="Primeiro Ciclo",COUNTIF(Tabela16[[#This Row],[C-01]:[C-120]],"x"),0)</f>
        <v>0</v>
      </c>
      <c r="H47" s="76">
        <f>IF(Tabela16[[#This Row],[CICLO INSPECAO]]="Segundo Ciclo",COUNTIF(Tabela16[[#This Row],[C-01]:[C-120]],"x"),0)</f>
        <v>0</v>
      </c>
      <c r="I47" s="76">
        <f>IF(Tabela16[[#This Row],[CICLO INSPECAO]]="Terceiro Ciclo",COUNTIF(Tabela16[[#This Row],[C-01]:[C-120]],"x"),0)</f>
        <v>0</v>
      </c>
      <c r="J47" s="76">
        <f>IF(Tabela16[[#This Row],[CICLO INSPECAO]]="Quarto Ciclo",COUNTIF(Tabela16[[#This Row],[C-01]:[C-120]],"x"),0)</f>
        <v>0</v>
      </c>
      <c r="K47" s="76">
        <f>IF(Tabela16[[#This Row],[CICLO INSPECAO]]="Troca de Spindle",COUNTIF(Tabela16[[#This Row],[C-01]:[C-120]],"x"),0)</f>
        <v>0</v>
      </c>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row>
    <row r="48" spans="1:131" x14ac:dyDescent="0.3">
      <c r="A48" s="79">
        <v>45776</v>
      </c>
      <c r="B48" s="76" t="s">
        <v>86</v>
      </c>
      <c r="C48" s="76" t="s">
        <v>82</v>
      </c>
      <c r="D48" s="76" t="s">
        <v>224</v>
      </c>
      <c r="E48" s="76">
        <v>0</v>
      </c>
      <c r="F48" s="76" t="s">
        <v>72</v>
      </c>
      <c r="G48" s="76">
        <f>IF(Tabela16[[#This Row],[CICLO INSPECAO]]="Primeiro Ciclo",COUNTIF(Tabela16[[#This Row],[C-01]:[C-120]],"x"),0)</f>
        <v>0</v>
      </c>
      <c r="H48" s="76">
        <f>IF(Tabela16[[#This Row],[CICLO INSPECAO]]="Segundo Ciclo",COUNTIF(Tabela16[[#This Row],[C-01]:[C-120]],"x"),0)</f>
        <v>0</v>
      </c>
      <c r="I48" s="76">
        <f>IF(Tabela16[[#This Row],[CICLO INSPECAO]]="Terceiro Ciclo",COUNTIF(Tabela16[[#This Row],[C-01]:[C-120]],"x"),0)</f>
        <v>0</v>
      </c>
      <c r="J48" s="76">
        <f>IF(Tabela16[[#This Row],[CICLO INSPECAO]]="Quarto Ciclo",COUNTIF(Tabela16[[#This Row],[C-01]:[C-120]],"x"),0)</f>
        <v>0</v>
      </c>
      <c r="K48" s="76">
        <f>IF(Tabela16[[#This Row],[CICLO INSPECAO]]="Troca de Spindle",COUNTIF(Tabela16[[#This Row],[C-01]:[C-120]],"x"),0)</f>
        <v>0</v>
      </c>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row>
    <row r="49" spans="1:131" x14ac:dyDescent="0.3">
      <c r="A49" s="79">
        <v>45421</v>
      </c>
      <c r="B49" s="76" t="s">
        <v>86</v>
      </c>
      <c r="C49" s="76" t="s">
        <v>82</v>
      </c>
      <c r="D49" s="76" t="s">
        <v>225</v>
      </c>
      <c r="E49" s="76">
        <v>0</v>
      </c>
      <c r="F49" s="76" t="s">
        <v>17</v>
      </c>
      <c r="G49" s="76">
        <f>IF(Tabela16[[#This Row],[CICLO INSPECAO]]="Primeiro Ciclo",COUNTIF(Tabela16[[#This Row],[C-01]:[C-120]],"x"),0)</f>
        <v>0</v>
      </c>
      <c r="H49" s="76">
        <f>IF(Tabela16[[#This Row],[CICLO INSPECAO]]="Segundo Ciclo",COUNTIF(Tabela16[[#This Row],[C-01]:[C-120]],"x"),0)</f>
        <v>0</v>
      </c>
      <c r="I49" s="76">
        <f>IF(Tabela16[[#This Row],[CICLO INSPECAO]]="Terceiro Ciclo",COUNTIF(Tabela16[[#This Row],[C-01]:[C-120]],"x"),0)</f>
        <v>0</v>
      </c>
      <c r="J49" s="76">
        <f>IF(Tabela16[[#This Row],[CICLO INSPECAO]]="Quarto Ciclo",COUNTIF(Tabela16[[#This Row],[C-01]:[C-120]],"x"),0)</f>
        <v>0</v>
      </c>
      <c r="K49" s="76">
        <f>IF(Tabela16[[#This Row],[CICLO INSPECAO]]="Troca de Spindle",COUNTIF(Tabela16[[#This Row],[C-01]:[C-120]],"x"),0)</f>
        <v>0</v>
      </c>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row>
    <row r="50" spans="1:131" x14ac:dyDescent="0.3">
      <c r="A50" s="79">
        <v>45624</v>
      </c>
      <c r="B50" s="76" t="s">
        <v>86</v>
      </c>
      <c r="C50" s="76" t="s">
        <v>82</v>
      </c>
      <c r="D50" s="76" t="s">
        <v>225</v>
      </c>
      <c r="E50" s="76">
        <v>0</v>
      </c>
      <c r="F50" s="76" t="s">
        <v>71</v>
      </c>
      <c r="G50" s="76">
        <f>IF(Tabela16[[#This Row],[CICLO INSPECAO]]="Primeiro Ciclo",COUNTIF(Tabela16[[#This Row],[C-01]:[C-120]],"x"),0)</f>
        <v>0</v>
      </c>
      <c r="H50" s="76">
        <f>IF(Tabela16[[#This Row],[CICLO INSPECAO]]="Segundo Ciclo",COUNTIF(Tabela16[[#This Row],[C-01]:[C-120]],"x"),0)</f>
        <v>0</v>
      </c>
      <c r="I50" s="76">
        <f>IF(Tabela16[[#This Row],[CICLO INSPECAO]]="Terceiro Ciclo",COUNTIF(Tabela16[[#This Row],[C-01]:[C-120]],"x"),0)</f>
        <v>0</v>
      </c>
      <c r="J50" s="76">
        <f>IF(Tabela16[[#This Row],[CICLO INSPECAO]]="Quarto Ciclo",COUNTIF(Tabela16[[#This Row],[C-01]:[C-120]],"x"),0)</f>
        <v>0</v>
      </c>
      <c r="K50" s="76">
        <f>IF(Tabela16[[#This Row],[CICLO INSPECAO]]="Troca de Spindle",COUNTIF(Tabela16[[#This Row],[C-01]:[C-120]],"x"),0)</f>
        <v>0</v>
      </c>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row>
    <row r="51" spans="1:131" x14ac:dyDescent="0.3">
      <c r="A51" s="79">
        <v>45782</v>
      </c>
      <c r="B51" s="76" t="s">
        <v>86</v>
      </c>
      <c r="C51" s="76" t="s">
        <v>82</v>
      </c>
      <c r="D51" s="76" t="s">
        <v>225</v>
      </c>
      <c r="E51" s="76">
        <v>0</v>
      </c>
      <c r="F51" s="76" t="s">
        <v>72</v>
      </c>
      <c r="G51" s="76">
        <f>IF(Tabela16[[#This Row],[CICLO INSPECAO]]="Primeiro Ciclo",COUNTIF(Tabela16[[#This Row],[C-01]:[C-120]],"x"),0)</f>
        <v>0</v>
      </c>
      <c r="H51" s="76">
        <f>IF(Tabela16[[#This Row],[CICLO INSPECAO]]="Segundo Ciclo",COUNTIF(Tabela16[[#This Row],[C-01]:[C-120]],"x"),0)</f>
        <v>0</v>
      </c>
      <c r="I51" s="76">
        <f>IF(Tabela16[[#This Row],[CICLO INSPECAO]]="Terceiro Ciclo",COUNTIF(Tabela16[[#This Row],[C-01]:[C-120]],"x"),0)</f>
        <v>0</v>
      </c>
      <c r="J51" s="76">
        <f>IF(Tabela16[[#This Row],[CICLO INSPECAO]]="Quarto Ciclo",COUNTIF(Tabela16[[#This Row],[C-01]:[C-120]],"x"),0)</f>
        <v>0</v>
      </c>
      <c r="K51" s="76">
        <f>IF(Tabela16[[#This Row],[CICLO INSPECAO]]="Troca de Spindle",COUNTIF(Tabela16[[#This Row],[C-01]:[C-120]],"x"),0)</f>
        <v>0</v>
      </c>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row>
    <row r="52" spans="1:131" x14ac:dyDescent="0.3">
      <c r="A52" s="79">
        <v>45441</v>
      </c>
      <c r="B52" s="76" t="s">
        <v>86</v>
      </c>
      <c r="C52" s="76" t="s">
        <v>82</v>
      </c>
      <c r="D52" s="76" t="s">
        <v>226</v>
      </c>
      <c r="E52" s="76">
        <v>0</v>
      </c>
      <c r="F52" s="76" t="s">
        <v>17</v>
      </c>
      <c r="G52" s="76">
        <f>IF(Tabela16[[#This Row],[CICLO INSPECAO]]="Primeiro Ciclo",COUNTIF(Tabela16[[#This Row],[C-01]:[C-120]],"x"),0)</f>
        <v>0</v>
      </c>
      <c r="H52" s="76">
        <f>IF(Tabela16[[#This Row],[CICLO INSPECAO]]="Segundo Ciclo",COUNTIF(Tabela16[[#This Row],[C-01]:[C-120]],"x"),0)</f>
        <v>0</v>
      </c>
      <c r="I52" s="76">
        <f>IF(Tabela16[[#This Row],[CICLO INSPECAO]]="Terceiro Ciclo",COUNTIF(Tabela16[[#This Row],[C-01]:[C-120]],"x"),0)</f>
        <v>0</v>
      </c>
      <c r="J52" s="76">
        <f>IF(Tabela16[[#This Row],[CICLO INSPECAO]]="Quarto Ciclo",COUNTIF(Tabela16[[#This Row],[C-01]:[C-120]],"x"),0)</f>
        <v>0</v>
      </c>
      <c r="K52" s="76">
        <f>IF(Tabela16[[#This Row],[CICLO INSPECAO]]="Troca de Spindle",COUNTIF(Tabela16[[#This Row],[C-01]:[C-120]],"x"),0)</f>
        <v>0</v>
      </c>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row>
    <row r="53" spans="1:131" x14ac:dyDescent="0.3">
      <c r="A53" s="79">
        <v>45608</v>
      </c>
      <c r="B53" s="76" t="s">
        <v>86</v>
      </c>
      <c r="C53" s="76" t="s">
        <v>82</v>
      </c>
      <c r="D53" s="76" t="s">
        <v>226</v>
      </c>
      <c r="E53" s="76">
        <v>0</v>
      </c>
      <c r="F53" s="76" t="s">
        <v>71</v>
      </c>
      <c r="G53" s="76">
        <f>IF(Tabela16[[#This Row],[CICLO INSPECAO]]="Primeiro Ciclo",COUNTIF(Tabela16[[#This Row],[C-01]:[C-120]],"x"),0)</f>
        <v>0</v>
      </c>
      <c r="H53" s="76">
        <f>IF(Tabela16[[#This Row],[CICLO INSPECAO]]="Segundo Ciclo",COUNTIF(Tabela16[[#This Row],[C-01]:[C-120]],"x"),0)</f>
        <v>0</v>
      </c>
      <c r="I53" s="76">
        <f>IF(Tabela16[[#This Row],[CICLO INSPECAO]]="Terceiro Ciclo",COUNTIF(Tabela16[[#This Row],[C-01]:[C-120]],"x"),0)</f>
        <v>0</v>
      </c>
      <c r="J53" s="76">
        <f>IF(Tabela16[[#This Row],[CICLO INSPECAO]]="Quarto Ciclo",COUNTIF(Tabela16[[#This Row],[C-01]:[C-120]],"x"),0)</f>
        <v>0</v>
      </c>
      <c r="K53" s="76">
        <f>IF(Tabela16[[#This Row],[CICLO INSPECAO]]="Troca de Spindle",COUNTIF(Tabela16[[#This Row],[C-01]:[C-120]],"x"),0)</f>
        <v>0</v>
      </c>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row>
    <row r="54" spans="1:131" x14ac:dyDescent="0.3">
      <c r="A54" s="79">
        <v>45783</v>
      </c>
      <c r="B54" s="76" t="s">
        <v>86</v>
      </c>
      <c r="C54" s="76" t="s">
        <v>82</v>
      </c>
      <c r="D54" s="76" t="s">
        <v>226</v>
      </c>
      <c r="E54" s="76">
        <v>0</v>
      </c>
      <c r="F54" s="76" t="s">
        <v>72</v>
      </c>
      <c r="G54" s="76">
        <f>IF(Tabela16[[#This Row],[CICLO INSPECAO]]="Primeiro Ciclo",COUNTIF(Tabela16[[#This Row],[C-01]:[C-120]],"x"),0)</f>
        <v>0</v>
      </c>
      <c r="H54" s="76">
        <f>IF(Tabela16[[#This Row],[CICLO INSPECAO]]="Segundo Ciclo",COUNTIF(Tabela16[[#This Row],[C-01]:[C-120]],"x"),0)</f>
        <v>0</v>
      </c>
      <c r="I54" s="76">
        <f>IF(Tabela16[[#This Row],[CICLO INSPECAO]]="Terceiro Ciclo",COUNTIF(Tabela16[[#This Row],[C-01]:[C-120]],"x"),0)</f>
        <v>0</v>
      </c>
      <c r="J54" s="76">
        <f>IF(Tabela16[[#This Row],[CICLO INSPECAO]]="Quarto Ciclo",COUNTIF(Tabela16[[#This Row],[C-01]:[C-120]],"x"),0)</f>
        <v>0</v>
      </c>
      <c r="K54" s="76">
        <f>IF(Tabela16[[#This Row],[CICLO INSPECAO]]="Troca de Spindle",COUNTIF(Tabela16[[#This Row],[C-01]:[C-120]],"x"),0)</f>
        <v>0</v>
      </c>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row>
    <row r="55" spans="1:131" x14ac:dyDescent="0.3">
      <c r="A55" s="79">
        <v>45449</v>
      </c>
      <c r="B55" s="76" t="s">
        <v>86</v>
      </c>
      <c r="C55" s="76" t="s">
        <v>73</v>
      </c>
      <c r="D55" s="76" t="s">
        <v>194</v>
      </c>
      <c r="E55" s="76">
        <v>0</v>
      </c>
      <c r="F55" s="76" t="s">
        <v>17</v>
      </c>
      <c r="G55" s="76">
        <f>IF(Tabela16[[#This Row],[CICLO INSPECAO]]="Primeiro Ciclo",COUNTIF(Tabela16[[#This Row],[C-01]:[C-120]],"x"),0)</f>
        <v>0</v>
      </c>
      <c r="H55" s="76">
        <f>IF(Tabela16[[#This Row],[CICLO INSPECAO]]="Segundo Ciclo",COUNTIF(Tabela16[[#This Row],[C-01]:[C-120]],"x"),0)</f>
        <v>0</v>
      </c>
      <c r="I55" s="76">
        <f>IF(Tabela16[[#This Row],[CICLO INSPECAO]]="Terceiro Ciclo",COUNTIF(Tabela16[[#This Row],[C-01]:[C-120]],"x"),0)</f>
        <v>0</v>
      </c>
      <c r="J55" s="76">
        <f>IF(Tabela16[[#This Row],[CICLO INSPECAO]]="Quarto Ciclo",COUNTIF(Tabela16[[#This Row],[C-01]:[C-120]],"x"),0)</f>
        <v>0</v>
      </c>
      <c r="K55" s="76">
        <f>IF(Tabela16[[#This Row],[CICLO INSPECAO]]="Troca de Spindle",COUNTIF(Tabela16[[#This Row],[C-01]:[C-120]],"x"),0)</f>
        <v>0</v>
      </c>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row>
    <row r="56" spans="1:131" x14ac:dyDescent="0.3">
      <c r="A56" s="79">
        <v>45621</v>
      </c>
      <c r="B56" s="76" t="s">
        <v>86</v>
      </c>
      <c r="C56" s="76" t="s">
        <v>73</v>
      </c>
      <c r="D56" s="76" t="s">
        <v>194</v>
      </c>
      <c r="E56" s="76">
        <v>0</v>
      </c>
      <c r="F56" s="76" t="s">
        <v>71</v>
      </c>
      <c r="G56" s="76">
        <f>IF(Tabela16[[#This Row],[CICLO INSPECAO]]="Primeiro Ciclo",COUNTIF(Tabela16[[#This Row],[C-01]:[C-120]],"x"),0)</f>
        <v>0</v>
      </c>
      <c r="H56" s="76">
        <f>IF(Tabela16[[#This Row],[CICLO INSPECAO]]="Segundo Ciclo",COUNTIF(Tabela16[[#This Row],[C-01]:[C-120]],"x"),0)</f>
        <v>0</v>
      </c>
      <c r="I56" s="76">
        <f>IF(Tabela16[[#This Row],[CICLO INSPECAO]]="Terceiro Ciclo",COUNTIF(Tabela16[[#This Row],[C-01]:[C-120]],"x"),0)</f>
        <v>0</v>
      </c>
      <c r="J56" s="76">
        <f>IF(Tabela16[[#This Row],[CICLO INSPECAO]]="Quarto Ciclo",COUNTIF(Tabela16[[#This Row],[C-01]:[C-120]],"x"),0)</f>
        <v>0</v>
      </c>
      <c r="K56" s="76">
        <f>IF(Tabela16[[#This Row],[CICLO INSPECAO]]="Troca de Spindle",COUNTIF(Tabela16[[#This Row],[C-01]:[C-120]],"x"),0)</f>
        <v>0</v>
      </c>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row>
    <row r="57" spans="1:131" x14ac:dyDescent="0.3">
      <c r="A57" s="79">
        <v>45741</v>
      </c>
      <c r="B57" s="76" t="s">
        <v>86</v>
      </c>
      <c r="C57" s="76" t="s">
        <v>73</v>
      </c>
      <c r="D57" s="76" t="s">
        <v>194</v>
      </c>
      <c r="E57" s="76">
        <v>0</v>
      </c>
      <c r="F57" s="76" t="s">
        <v>72</v>
      </c>
      <c r="G57" s="76">
        <f>IF(Tabela16[[#This Row],[CICLO INSPECAO]]="Primeiro Ciclo",COUNTIF(Tabela16[[#This Row],[C-01]:[C-120]],"x"),0)</f>
        <v>0</v>
      </c>
      <c r="H57" s="76">
        <f>IF(Tabela16[[#This Row],[CICLO INSPECAO]]="Segundo Ciclo",COUNTIF(Tabela16[[#This Row],[C-01]:[C-120]],"x"),0)</f>
        <v>0</v>
      </c>
      <c r="I57" s="76">
        <f>IF(Tabela16[[#This Row],[CICLO INSPECAO]]="Terceiro Ciclo",COUNTIF(Tabela16[[#This Row],[C-01]:[C-120]],"x"),0)</f>
        <v>0</v>
      </c>
      <c r="J57" s="76">
        <f>IF(Tabela16[[#This Row],[CICLO INSPECAO]]="Quarto Ciclo",COUNTIF(Tabela16[[#This Row],[C-01]:[C-120]],"x"),0)</f>
        <v>0</v>
      </c>
      <c r="K57" s="76">
        <f>IF(Tabela16[[#This Row],[CICLO INSPECAO]]="Troca de Spindle",COUNTIF(Tabela16[[#This Row],[C-01]:[C-120]],"x"),0)</f>
        <v>0</v>
      </c>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row>
    <row r="58" spans="1:131" x14ac:dyDescent="0.3">
      <c r="A58" s="79">
        <v>45450</v>
      </c>
      <c r="B58" s="76" t="s">
        <v>86</v>
      </c>
      <c r="C58" s="76" t="s">
        <v>73</v>
      </c>
      <c r="D58" s="76" t="s">
        <v>195</v>
      </c>
      <c r="E58" s="76">
        <v>0</v>
      </c>
      <c r="F58" s="76" t="s">
        <v>17</v>
      </c>
      <c r="G58" s="76">
        <f>IF(Tabela16[[#This Row],[CICLO INSPECAO]]="Primeiro Ciclo",COUNTIF(Tabela16[[#This Row],[C-01]:[C-120]],"x"),0)</f>
        <v>0</v>
      </c>
      <c r="H58" s="76">
        <f>IF(Tabela16[[#This Row],[CICLO INSPECAO]]="Segundo Ciclo",COUNTIF(Tabela16[[#This Row],[C-01]:[C-120]],"x"),0)</f>
        <v>0</v>
      </c>
      <c r="I58" s="76">
        <f>IF(Tabela16[[#This Row],[CICLO INSPECAO]]="Terceiro Ciclo",COUNTIF(Tabela16[[#This Row],[C-01]:[C-120]],"x"),0)</f>
        <v>0</v>
      </c>
      <c r="J58" s="76">
        <f>IF(Tabela16[[#This Row],[CICLO INSPECAO]]="Quarto Ciclo",COUNTIF(Tabela16[[#This Row],[C-01]:[C-120]],"x"),0)</f>
        <v>0</v>
      </c>
      <c r="K58" s="76">
        <f>IF(Tabela16[[#This Row],[CICLO INSPECAO]]="Troca de Spindle",COUNTIF(Tabela16[[#This Row],[C-01]:[C-120]],"x"),0)</f>
        <v>0</v>
      </c>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row>
    <row r="59" spans="1:131" x14ac:dyDescent="0.3">
      <c r="A59" s="79">
        <v>45610</v>
      </c>
      <c r="B59" s="76" t="s">
        <v>86</v>
      </c>
      <c r="C59" s="76" t="s">
        <v>73</v>
      </c>
      <c r="D59" s="76" t="s">
        <v>195</v>
      </c>
      <c r="E59" s="76">
        <v>0</v>
      </c>
      <c r="F59" s="76" t="s">
        <v>71</v>
      </c>
      <c r="G59" s="76">
        <f>IF(Tabela16[[#This Row],[CICLO INSPECAO]]="Primeiro Ciclo",COUNTIF(Tabela16[[#This Row],[C-01]:[C-120]],"x"),0)</f>
        <v>0</v>
      </c>
      <c r="H59" s="76">
        <f>IF(Tabela16[[#This Row],[CICLO INSPECAO]]="Segundo Ciclo",COUNTIF(Tabela16[[#This Row],[C-01]:[C-120]],"x"),0)</f>
        <v>0</v>
      </c>
      <c r="I59" s="76">
        <f>IF(Tabela16[[#This Row],[CICLO INSPECAO]]="Terceiro Ciclo",COUNTIF(Tabela16[[#This Row],[C-01]:[C-120]],"x"),0)</f>
        <v>0</v>
      </c>
      <c r="J59" s="76">
        <f>IF(Tabela16[[#This Row],[CICLO INSPECAO]]="Quarto Ciclo",COUNTIF(Tabela16[[#This Row],[C-01]:[C-120]],"x"),0)</f>
        <v>0</v>
      </c>
      <c r="K59" s="76">
        <f>IF(Tabela16[[#This Row],[CICLO INSPECAO]]="Troca de Spindle",COUNTIF(Tabela16[[#This Row],[C-01]:[C-120]],"x"),0)</f>
        <v>0</v>
      </c>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row>
    <row r="60" spans="1:131" x14ac:dyDescent="0.3">
      <c r="A60" s="79">
        <v>45623</v>
      </c>
      <c r="B60" s="76" t="s">
        <v>86</v>
      </c>
      <c r="C60" s="76" t="s">
        <v>73</v>
      </c>
      <c r="D60" s="76" t="s">
        <v>196</v>
      </c>
      <c r="E60" s="76">
        <v>0</v>
      </c>
      <c r="F60" s="76" t="s">
        <v>71</v>
      </c>
      <c r="G60" s="76">
        <f>IF(Tabela16[[#This Row],[CICLO INSPECAO]]="Primeiro Ciclo",COUNTIF(Tabela16[[#This Row],[C-01]:[C-120]],"x"),0)</f>
        <v>0</v>
      </c>
      <c r="H60" s="76">
        <f>IF(Tabela16[[#This Row],[CICLO INSPECAO]]="Segundo Ciclo",COUNTIF(Tabela16[[#This Row],[C-01]:[C-120]],"x"),0)</f>
        <v>0</v>
      </c>
      <c r="I60" s="76">
        <f>IF(Tabela16[[#This Row],[CICLO INSPECAO]]="Terceiro Ciclo",COUNTIF(Tabela16[[#This Row],[C-01]:[C-120]],"x"),0)</f>
        <v>0</v>
      </c>
      <c r="J60" s="76">
        <f>IF(Tabela16[[#This Row],[CICLO INSPECAO]]="Quarto Ciclo",COUNTIF(Tabela16[[#This Row],[C-01]:[C-120]],"x"),0)</f>
        <v>0</v>
      </c>
      <c r="K60" s="76">
        <f>IF(Tabela16[[#This Row],[CICLO INSPECAO]]="Troca de Spindle",COUNTIF(Tabela16[[#This Row],[C-01]:[C-120]],"x"),0)</f>
        <v>0</v>
      </c>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row>
    <row r="61" spans="1:131" x14ac:dyDescent="0.3">
      <c r="A61" s="79">
        <v>45792</v>
      </c>
      <c r="B61" s="76" t="s">
        <v>86</v>
      </c>
      <c r="C61" s="76" t="s">
        <v>73</v>
      </c>
      <c r="D61" s="76" t="s">
        <v>196</v>
      </c>
      <c r="E61" s="76">
        <v>0</v>
      </c>
      <c r="F61" s="76" t="s">
        <v>72</v>
      </c>
      <c r="G61" s="76">
        <f>IF(Tabela16[[#This Row],[CICLO INSPECAO]]="Primeiro Ciclo",COUNTIF(Tabela16[[#This Row],[C-01]:[C-120]],"x"),0)</f>
        <v>0</v>
      </c>
      <c r="H61" s="76">
        <f>IF(Tabela16[[#This Row],[CICLO INSPECAO]]="Segundo Ciclo",COUNTIF(Tabela16[[#This Row],[C-01]:[C-120]],"x"),0)</f>
        <v>0</v>
      </c>
      <c r="I61" s="76">
        <f>IF(Tabela16[[#This Row],[CICLO INSPECAO]]="Terceiro Ciclo",COUNTIF(Tabela16[[#This Row],[C-01]:[C-120]],"x"),0)</f>
        <v>0</v>
      </c>
      <c r="J61" s="76">
        <f>IF(Tabela16[[#This Row],[CICLO INSPECAO]]="Quarto Ciclo",COUNTIF(Tabela16[[#This Row],[C-01]:[C-120]],"x"),0)</f>
        <v>0</v>
      </c>
      <c r="K61" s="76">
        <f>IF(Tabela16[[#This Row],[CICLO INSPECAO]]="Troca de Spindle",COUNTIF(Tabela16[[#This Row],[C-01]:[C-120]],"x"),0)</f>
        <v>0</v>
      </c>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row>
    <row r="62" spans="1:131" x14ac:dyDescent="0.3">
      <c r="A62" s="79">
        <v>45450</v>
      </c>
      <c r="B62" s="76" t="s">
        <v>86</v>
      </c>
      <c r="C62" s="76" t="s">
        <v>73</v>
      </c>
      <c r="D62" s="76" t="s">
        <v>197</v>
      </c>
      <c r="E62" s="76">
        <v>0</v>
      </c>
      <c r="F62" s="76" t="s">
        <v>17</v>
      </c>
      <c r="G62" s="76">
        <f>IF(Tabela16[[#This Row],[CICLO INSPECAO]]="Primeiro Ciclo",COUNTIF(Tabela16[[#This Row],[C-01]:[C-120]],"x"),0)</f>
        <v>0</v>
      </c>
      <c r="H62" s="76">
        <f>IF(Tabela16[[#This Row],[CICLO INSPECAO]]="Segundo Ciclo",COUNTIF(Tabela16[[#This Row],[C-01]:[C-120]],"x"),0)</f>
        <v>0</v>
      </c>
      <c r="I62" s="76">
        <f>IF(Tabela16[[#This Row],[CICLO INSPECAO]]="Terceiro Ciclo",COUNTIF(Tabela16[[#This Row],[C-01]:[C-120]],"x"),0)</f>
        <v>0</v>
      </c>
      <c r="J62" s="76">
        <f>IF(Tabela16[[#This Row],[CICLO INSPECAO]]="Quarto Ciclo",COUNTIF(Tabela16[[#This Row],[C-01]:[C-120]],"x"),0)</f>
        <v>0</v>
      </c>
      <c r="K62" s="76">
        <f>IF(Tabela16[[#This Row],[CICLO INSPECAO]]="Troca de Spindle",COUNTIF(Tabela16[[#This Row],[C-01]:[C-120]],"x"),0)</f>
        <v>0</v>
      </c>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row>
    <row r="63" spans="1:131" x14ac:dyDescent="0.3">
      <c r="A63" s="80">
        <v>45616</v>
      </c>
      <c r="B63" s="81" t="s">
        <v>86</v>
      </c>
      <c r="C63" s="81" t="s">
        <v>73</v>
      </c>
      <c r="D63" s="81" t="s">
        <v>197</v>
      </c>
      <c r="E63" s="81">
        <v>0</v>
      </c>
      <c r="F63" s="81" t="s">
        <v>71</v>
      </c>
      <c r="G63" s="81">
        <f>IF(Tabela16[[#This Row],[CICLO INSPECAO]]="Primeiro Ciclo",COUNTIF(Tabela16[[#This Row],[C-01]:[C-120]],"x"),0)</f>
        <v>0</v>
      </c>
      <c r="H63" s="81">
        <f>IF(Tabela16[[#This Row],[CICLO INSPECAO]]="Segundo Ciclo",COUNTIF(Tabela16[[#This Row],[C-01]:[C-120]],"x"),0)</f>
        <v>0</v>
      </c>
      <c r="I63" s="81">
        <f>IF(Tabela16[[#This Row],[CICLO INSPECAO]]="Terceiro Ciclo",COUNTIF(Tabela16[[#This Row],[C-01]:[C-120]],"x"),0)</f>
        <v>0</v>
      </c>
      <c r="J63" s="81">
        <f>IF(Tabela16[[#This Row],[CICLO INSPECAO]]="Quarto Ciclo",COUNTIF(Tabela16[[#This Row],[C-01]:[C-120]],"x"),0)</f>
        <v>0</v>
      </c>
      <c r="K63" s="81">
        <f>IF(Tabela16[[#This Row],[CICLO INSPECAO]]="Troca de Spindle",COUNTIF(Tabela16[[#This Row],[C-01]:[C-120]],"x"),0)</f>
        <v>0</v>
      </c>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row>
    <row r="64" spans="1:131" x14ac:dyDescent="0.3">
      <c r="A64" s="79">
        <v>45448</v>
      </c>
      <c r="B64" s="76">
        <v>67373</v>
      </c>
      <c r="C64" s="76" t="s">
        <v>73</v>
      </c>
      <c r="D64" s="76" t="s">
        <v>198</v>
      </c>
      <c r="E64" s="76">
        <v>30</v>
      </c>
      <c r="F64" s="76" t="s">
        <v>17</v>
      </c>
      <c r="G64" s="76">
        <f>IF(Tabela16[[#This Row],[CICLO INSPECAO]]="Primeiro Ciclo",COUNTIF(Tabela16[[#This Row],[C-01]:[C-120]],"x"),0)</f>
        <v>3</v>
      </c>
      <c r="H64" s="76">
        <f>IF(Tabela16[[#This Row],[CICLO INSPECAO]]="Segundo Ciclo",COUNTIF(Tabela16[[#This Row],[C-01]:[C-120]],"x"),0)</f>
        <v>0</v>
      </c>
      <c r="I64" s="76">
        <f>IF(Tabela16[[#This Row],[CICLO INSPECAO]]="Terceiro Ciclo",COUNTIF(Tabela16[[#This Row],[C-01]:[C-120]],"x"),0)</f>
        <v>0</v>
      </c>
      <c r="J64" s="76">
        <f>IF(Tabela16[[#This Row],[CICLO INSPECAO]]="Quarto Ciclo",COUNTIF(Tabela16[[#This Row],[C-01]:[C-120]],"x"),0)</f>
        <v>0</v>
      </c>
      <c r="K64" s="76">
        <f>IF(Tabela16[[#This Row],[CICLO INSPECAO]]="Troca de Spindle",COUNTIF(Tabela16[[#This Row],[C-01]:[C-120]],"x"),0)</f>
        <v>0</v>
      </c>
      <c r="L64" s="7"/>
      <c r="M64" s="7" t="s">
        <v>351</v>
      </c>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t="s">
        <v>351</v>
      </c>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t="s">
        <v>351</v>
      </c>
      <c r="DZ64" s="7"/>
      <c r="EA64" s="7"/>
    </row>
    <row r="65" spans="1:131" x14ac:dyDescent="0.3">
      <c r="A65" s="79">
        <v>45630</v>
      </c>
      <c r="B65" s="76">
        <v>67373</v>
      </c>
      <c r="C65" s="76" t="s">
        <v>73</v>
      </c>
      <c r="D65" s="76" t="s">
        <v>198</v>
      </c>
      <c r="E65" s="76">
        <v>10</v>
      </c>
      <c r="F65" s="76" t="s">
        <v>71</v>
      </c>
      <c r="G65" s="76">
        <f>IF(Tabela16[[#This Row],[CICLO INSPECAO]]="Primeiro Ciclo",COUNTIF(Tabela16[[#This Row],[C-01]:[C-120]],"x"),0)</f>
        <v>0</v>
      </c>
      <c r="H65" s="76">
        <f>IF(Tabela16[[#This Row],[CICLO INSPECAO]]="Segundo Ciclo",COUNTIF(Tabela16[[#This Row],[C-01]:[C-120]],"x"),0)</f>
        <v>1</v>
      </c>
      <c r="I65" s="76">
        <f>IF(Tabela16[[#This Row],[CICLO INSPECAO]]="Terceiro Ciclo",COUNTIF(Tabela16[[#This Row],[C-01]:[C-120]],"x"),0)</f>
        <v>0</v>
      </c>
      <c r="J65" s="76">
        <f>IF(Tabela16[[#This Row],[CICLO INSPECAO]]="Quarto Ciclo",COUNTIF(Tabela16[[#This Row],[C-01]:[C-120]],"x"),0)</f>
        <v>0</v>
      </c>
      <c r="K65" s="76">
        <f>IF(Tabela16[[#This Row],[CICLO INSPECAO]]="Troca de Spindle",COUNTIF(Tabela16[[#This Row],[C-01]:[C-120]],"x"),0)</f>
        <v>0</v>
      </c>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t="s">
        <v>351</v>
      </c>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row>
    <row r="66" spans="1:131" x14ac:dyDescent="0.3">
      <c r="A66" s="79">
        <v>45488</v>
      </c>
      <c r="B66" s="76" t="s">
        <v>86</v>
      </c>
      <c r="C66" s="76" t="s">
        <v>73</v>
      </c>
      <c r="D66" s="76" t="s">
        <v>199</v>
      </c>
      <c r="E66" s="76">
        <v>32</v>
      </c>
      <c r="F66" s="76" t="s">
        <v>85</v>
      </c>
      <c r="G66" s="76">
        <f>IF(Tabela16[[#This Row],[CICLO INSPECAO]]="Primeiro Ciclo",COUNTIF(Tabela16[[#This Row],[C-01]:[C-120]],"x"),0)</f>
        <v>0</v>
      </c>
      <c r="H66" s="76">
        <f>IF(Tabela16[[#This Row],[CICLO INSPECAO]]="Segundo Ciclo",COUNTIF(Tabela16[[#This Row],[C-01]:[C-120]],"x"),0)</f>
        <v>0</v>
      </c>
      <c r="I66" s="76">
        <f>IF(Tabela16[[#This Row],[CICLO INSPECAO]]="Terceiro Ciclo",COUNTIF(Tabela16[[#This Row],[C-01]:[C-120]],"x"),0)</f>
        <v>0</v>
      </c>
      <c r="J66" s="76">
        <f>IF(Tabela16[[#This Row],[CICLO INSPECAO]]="Quarto Ciclo",COUNTIF(Tabela16[[#This Row],[C-01]:[C-120]],"x"),0)</f>
        <v>0</v>
      </c>
      <c r="K66" s="76">
        <f>IF(Tabela16[[#This Row],[CICLO INSPECAO]]="Troca de Spindle",COUNTIF(Tabela16[[#This Row],[C-01]:[C-120]],"x"),0)</f>
        <v>0</v>
      </c>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row>
    <row r="67" spans="1:131" x14ac:dyDescent="0.3">
      <c r="A67" s="79">
        <v>45610</v>
      </c>
      <c r="B67" s="76" t="s">
        <v>86</v>
      </c>
      <c r="C67" s="76" t="s">
        <v>73</v>
      </c>
      <c r="D67" s="76" t="s">
        <v>199</v>
      </c>
      <c r="E67" s="76">
        <v>0</v>
      </c>
      <c r="F67" s="76" t="s">
        <v>71</v>
      </c>
      <c r="G67" s="76">
        <f>IF(Tabela16[[#This Row],[CICLO INSPECAO]]="Primeiro Ciclo",COUNTIF(Tabela16[[#This Row],[C-01]:[C-120]],"x"),0)</f>
        <v>0</v>
      </c>
      <c r="H67" s="76">
        <f>IF(Tabela16[[#This Row],[CICLO INSPECAO]]="Segundo Ciclo",COUNTIF(Tabela16[[#This Row],[C-01]:[C-120]],"x"),0)</f>
        <v>0</v>
      </c>
      <c r="I67" s="76">
        <f>IF(Tabela16[[#This Row],[CICLO INSPECAO]]="Terceiro Ciclo",COUNTIF(Tabela16[[#This Row],[C-01]:[C-120]],"x"),0)</f>
        <v>0</v>
      </c>
      <c r="J67" s="76">
        <f>IF(Tabela16[[#This Row],[CICLO INSPECAO]]="Quarto Ciclo",COUNTIF(Tabela16[[#This Row],[C-01]:[C-120]],"x"),0)</f>
        <v>0</v>
      </c>
      <c r="K67" s="76">
        <f>IF(Tabela16[[#This Row],[CICLO INSPECAO]]="Troca de Spindle",COUNTIF(Tabela16[[#This Row],[C-01]:[C-120]],"x"),0)</f>
        <v>0</v>
      </c>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row>
    <row r="68" spans="1:131" x14ac:dyDescent="0.3">
      <c r="A68" s="79">
        <v>45742</v>
      </c>
      <c r="B68" s="76" t="s">
        <v>86</v>
      </c>
      <c r="C68" s="76" t="s">
        <v>73</v>
      </c>
      <c r="D68" s="76" t="s">
        <v>199</v>
      </c>
      <c r="E68" s="76">
        <v>0</v>
      </c>
      <c r="F68" s="76" t="s">
        <v>72</v>
      </c>
      <c r="G68" s="76">
        <f>IF(Tabela16[[#This Row],[CICLO INSPECAO]]="Primeiro Ciclo",COUNTIF(Tabela16[[#This Row],[C-01]:[C-120]],"x"),0)</f>
        <v>0</v>
      </c>
      <c r="H68" s="76">
        <f>IF(Tabela16[[#This Row],[CICLO INSPECAO]]="Segundo Ciclo",COUNTIF(Tabela16[[#This Row],[C-01]:[C-120]],"x"),0)</f>
        <v>0</v>
      </c>
      <c r="I68" s="76">
        <f>IF(Tabela16[[#This Row],[CICLO INSPECAO]]="Terceiro Ciclo",COUNTIF(Tabela16[[#This Row],[C-01]:[C-120]],"x"),0)</f>
        <v>0</v>
      </c>
      <c r="J68" s="76">
        <f>IF(Tabela16[[#This Row],[CICLO INSPECAO]]="Quarto Ciclo",COUNTIF(Tabela16[[#This Row],[C-01]:[C-120]],"x"),0)</f>
        <v>0</v>
      </c>
      <c r="K68" s="76">
        <f>IF(Tabela16[[#This Row],[CICLO INSPECAO]]="Troca de Spindle",COUNTIF(Tabela16[[#This Row],[C-01]:[C-120]],"x"),0)</f>
        <v>0</v>
      </c>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row>
    <row r="69" spans="1:131" x14ac:dyDescent="0.3">
      <c r="A69" s="79">
        <v>45448</v>
      </c>
      <c r="B69" s="76">
        <v>67395</v>
      </c>
      <c r="C69" s="76" t="s">
        <v>73</v>
      </c>
      <c r="D69" s="76" t="s">
        <v>200</v>
      </c>
      <c r="E69" s="76">
        <v>10</v>
      </c>
      <c r="F69" s="76" t="s">
        <v>17</v>
      </c>
      <c r="G69" s="76">
        <f>IF(Tabela16[[#This Row],[CICLO INSPECAO]]="Primeiro Ciclo",COUNTIF(Tabela16[[#This Row],[C-01]:[C-120]],"x"),0)</f>
        <v>1</v>
      </c>
      <c r="H69" s="76">
        <f>IF(Tabela16[[#This Row],[CICLO INSPECAO]]="Segundo Ciclo",COUNTIF(Tabela16[[#This Row],[C-01]:[C-120]],"x"),0)</f>
        <v>0</v>
      </c>
      <c r="I69" s="76">
        <f>IF(Tabela16[[#This Row],[CICLO INSPECAO]]="Terceiro Ciclo",COUNTIF(Tabela16[[#This Row],[C-01]:[C-120]],"x"),0)</f>
        <v>0</v>
      </c>
      <c r="J69" s="76">
        <f>IF(Tabela16[[#This Row],[CICLO INSPECAO]]="Quarto Ciclo",COUNTIF(Tabela16[[#This Row],[C-01]:[C-120]],"x"),0)</f>
        <v>0</v>
      </c>
      <c r="K69" s="76">
        <f>IF(Tabela16[[#This Row],[CICLO INSPECAO]]="Troca de Spindle",COUNTIF(Tabela16[[#This Row],[C-01]:[C-120]],"x"),0)</f>
        <v>0</v>
      </c>
      <c r="L69" s="7" t="s">
        <v>351</v>
      </c>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row>
    <row r="70" spans="1:131" x14ac:dyDescent="0.3">
      <c r="A70" s="79">
        <v>45629</v>
      </c>
      <c r="B70" s="76" t="s">
        <v>86</v>
      </c>
      <c r="C70" s="76" t="s">
        <v>73</v>
      </c>
      <c r="D70" s="76" t="s">
        <v>200</v>
      </c>
      <c r="E70" s="76">
        <v>10</v>
      </c>
      <c r="F70" s="76" t="s">
        <v>71</v>
      </c>
      <c r="G70" s="76">
        <f>IF(Tabela16[[#This Row],[CICLO INSPECAO]]="Primeiro Ciclo",COUNTIF(Tabela16[[#This Row],[C-01]:[C-120]],"x"),0)</f>
        <v>0</v>
      </c>
      <c r="H70" s="76">
        <f>IF(Tabela16[[#This Row],[CICLO INSPECAO]]="Segundo Ciclo",COUNTIF(Tabela16[[#This Row],[C-01]:[C-120]],"x"),0)</f>
        <v>1</v>
      </c>
      <c r="I70" s="76">
        <f>IF(Tabela16[[#This Row],[CICLO INSPECAO]]="Terceiro Ciclo",COUNTIF(Tabela16[[#This Row],[C-01]:[C-120]],"x"),0)</f>
        <v>0</v>
      </c>
      <c r="J70" s="76">
        <f>IF(Tabela16[[#This Row],[CICLO INSPECAO]]="Quarto Ciclo",COUNTIF(Tabela16[[#This Row],[C-01]:[C-120]],"x"),0)</f>
        <v>0</v>
      </c>
      <c r="K70" s="76">
        <f>IF(Tabela16[[#This Row],[CICLO INSPECAO]]="Troca de Spindle",COUNTIF(Tabela16[[#This Row],[C-01]:[C-120]],"x"),0)</f>
        <v>0</v>
      </c>
      <c r="L70" s="7"/>
      <c r="M70" s="7"/>
      <c r="N70" s="7"/>
      <c r="O70" s="7"/>
      <c r="P70" s="7"/>
      <c r="Q70" s="7"/>
      <c r="R70" s="7"/>
      <c r="S70" s="7"/>
      <c r="T70" s="7"/>
      <c r="U70" s="7"/>
      <c r="V70" s="7"/>
      <c r="W70" s="7"/>
      <c r="X70" s="7"/>
      <c r="Y70" s="7"/>
      <c r="Z70" s="7"/>
      <c r="AA70" s="7"/>
      <c r="AB70" s="7"/>
      <c r="AC70" s="7"/>
      <c r="AD70" s="7"/>
      <c r="AE70" s="7"/>
      <c r="AF70" s="7" t="s">
        <v>351</v>
      </c>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row>
    <row r="71" spans="1:131" x14ac:dyDescent="0.3">
      <c r="A71" s="79">
        <v>45449</v>
      </c>
      <c r="B71" s="76" t="s">
        <v>86</v>
      </c>
      <c r="C71" s="76" t="s">
        <v>73</v>
      </c>
      <c r="D71" s="76" t="s">
        <v>201</v>
      </c>
      <c r="E71" s="76">
        <v>0</v>
      </c>
      <c r="F71" s="76" t="s">
        <v>17</v>
      </c>
      <c r="G71" s="76">
        <f>IF(Tabela16[[#This Row],[CICLO INSPECAO]]="Primeiro Ciclo",COUNTIF(Tabela16[[#This Row],[C-01]:[C-120]],"x"),0)</f>
        <v>0</v>
      </c>
      <c r="H71" s="76">
        <f>IF(Tabela16[[#This Row],[CICLO INSPECAO]]="Segundo Ciclo",COUNTIF(Tabela16[[#This Row],[C-01]:[C-120]],"x"),0)</f>
        <v>0</v>
      </c>
      <c r="I71" s="76">
        <f>IF(Tabela16[[#This Row],[CICLO INSPECAO]]="Terceiro Ciclo",COUNTIF(Tabela16[[#This Row],[C-01]:[C-120]],"x"),0)</f>
        <v>0</v>
      </c>
      <c r="J71" s="76">
        <f>IF(Tabela16[[#This Row],[CICLO INSPECAO]]="Quarto Ciclo",COUNTIF(Tabela16[[#This Row],[C-01]:[C-120]],"x"),0)</f>
        <v>0</v>
      </c>
      <c r="K71" s="76">
        <f>IF(Tabela16[[#This Row],[CICLO INSPECAO]]="Troca de Spindle",COUNTIF(Tabela16[[#This Row],[C-01]:[C-120]],"x"),0)</f>
        <v>0</v>
      </c>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row>
    <row r="72" spans="1:131" x14ac:dyDescent="0.3">
      <c r="A72" s="79">
        <v>45630</v>
      </c>
      <c r="B72" s="76" t="s">
        <v>86</v>
      </c>
      <c r="C72" s="76" t="s">
        <v>73</v>
      </c>
      <c r="D72" s="76" t="s">
        <v>201</v>
      </c>
      <c r="E72" s="76">
        <v>0</v>
      </c>
      <c r="F72" s="76" t="s">
        <v>71</v>
      </c>
      <c r="G72" s="76">
        <f>IF(Tabela16[[#This Row],[CICLO INSPECAO]]="Primeiro Ciclo",COUNTIF(Tabela16[[#This Row],[C-01]:[C-120]],"x"),0)</f>
        <v>0</v>
      </c>
      <c r="H72" s="76">
        <f>IF(Tabela16[[#This Row],[CICLO INSPECAO]]="Segundo Ciclo",COUNTIF(Tabela16[[#This Row],[C-01]:[C-120]],"x"),0)</f>
        <v>0</v>
      </c>
      <c r="I72" s="76">
        <f>IF(Tabela16[[#This Row],[CICLO INSPECAO]]="Terceiro Ciclo",COUNTIF(Tabela16[[#This Row],[C-01]:[C-120]],"x"),0)</f>
        <v>0</v>
      </c>
      <c r="J72" s="76">
        <f>IF(Tabela16[[#This Row],[CICLO INSPECAO]]="Quarto Ciclo",COUNTIF(Tabela16[[#This Row],[C-01]:[C-120]],"x"),0)</f>
        <v>0</v>
      </c>
      <c r="K72" s="76">
        <f>IF(Tabela16[[#This Row],[CICLO INSPECAO]]="Troca de Spindle",COUNTIF(Tabela16[[#This Row],[C-01]:[C-120]],"x"),0)</f>
        <v>0</v>
      </c>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row>
    <row r="73" spans="1:131" x14ac:dyDescent="0.3">
      <c r="A73" s="79">
        <v>45464</v>
      </c>
      <c r="B73" s="76">
        <v>68028</v>
      </c>
      <c r="C73" s="76" t="s">
        <v>73</v>
      </c>
      <c r="D73" s="76" t="s">
        <v>202</v>
      </c>
      <c r="E73" s="76">
        <v>50</v>
      </c>
      <c r="F73" s="76" t="s">
        <v>17</v>
      </c>
      <c r="G73" s="76">
        <f>IF(Tabela16[[#This Row],[CICLO INSPECAO]]="Primeiro Ciclo",COUNTIF(Tabela16[[#This Row],[C-01]:[C-120]],"x"),0)</f>
        <v>5</v>
      </c>
      <c r="H73" s="76">
        <f>IF(Tabela16[[#This Row],[CICLO INSPECAO]]="Segundo Ciclo",COUNTIF(Tabela16[[#This Row],[C-01]:[C-120]],"x"),0)</f>
        <v>0</v>
      </c>
      <c r="I73" s="76">
        <f>IF(Tabela16[[#This Row],[CICLO INSPECAO]]="Terceiro Ciclo",COUNTIF(Tabela16[[#This Row],[C-01]:[C-120]],"x"),0)</f>
        <v>0</v>
      </c>
      <c r="J73" s="76">
        <f>IF(Tabela16[[#This Row],[CICLO INSPECAO]]="Quarto Ciclo",COUNTIF(Tabela16[[#This Row],[C-01]:[C-120]],"x"),0)</f>
        <v>0</v>
      </c>
      <c r="K73" s="76">
        <f>IF(Tabela16[[#This Row],[CICLO INSPECAO]]="Troca de Spindle",COUNTIF(Tabela16[[#This Row],[C-01]:[C-120]],"x"),0)</f>
        <v>0</v>
      </c>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t="s">
        <v>351</v>
      </c>
      <c r="AL73" s="37"/>
      <c r="AM73" s="37"/>
      <c r="AN73" s="37"/>
      <c r="AO73" s="37"/>
      <c r="AP73" s="37"/>
      <c r="AQ73" s="37"/>
      <c r="AR73" s="37"/>
      <c r="AS73" s="37"/>
      <c r="AT73" s="37"/>
      <c r="AU73" s="37"/>
      <c r="AV73" s="37"/>
      <c r="AW73" s="37"/>
      <c r="AX73" s="37"/>
      <c r="AY73" s="37"/>
      <c r="AZ73" s="37"/>
      <c r="BA73" s="37"/>
      <c r="BB73" s="37"/>
      <c r="BC73" s="37"/>
      <c r="BD73" s="37" t="s">
        <v>351</v>
      </c>
      <c r="BE73" s="37"/>
      <c r="BF73" s="37"/>
      <c r="BG73" s="37"/>
      <c r="BH73" s="37"/>
      <c r="BI73" s="37"/>
      <c r="BJ73" s="37"/>
      <c r="BK73" s="37"/>
      <c r="BL73" s="37"/>
      <c r="BM73" s="37"/>
      <c r="BN73" s="37"/>
      <c r="BO73" s="37"/>
      <c r="BP73" s="37"/>
      <c r="BQ73" s="37"/>
      <c r="BR73" s="37"/>
      <c r="BS73" s="37"/>
      <c r="BT73" s="37"/>
      <c r="BU73" s="37"/>
      <c r="BV73" s="37"/>
      <c r="BW73" s="37" t="s">
        <v>351</v>
      </c>
      <c r="BX73" s="37"/>
      <c r="BY73" s="37" t="s">
        <v>351</v>
      </c>
      <c r="BZ73" s="37"/>
      <c r="CA73" s="37"/>
      <c r="CB73" s="37"/>
      <c r="CC73" s="37"/>
      <c r="CD73" s="37"/>
      <c r="CE73" s="37"/>
      <c r="CF73" s="37"/>
      <c r="CG73" s="37"/>
      <c r="CH73" s="37"/>
      <c r="CI73" s="37"/>
      <c r="CJ73" s="37"/>
      <c r="CK73" s="37" t="s">
        <v>351</v>
      </c>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c r="DV73" s="37"/>
      <c r="DW73" s="37"/>
      <c r="DX73" s="37"/>
      <c r="DY73" s="37"/>
      <c r="DZ73" s="37"/>
      <c r="EA73" s="37"/>
    </row>
    <row r="74" spans="1:131" x14ac:dyDescent="0.3">
      <c r="A74" s="79">
        <v>45639</v>
      </c>
      <c r="B74" s="76" t="s">
        <v>86</v>
      </c>
      <c r="C74" s="76" t="s">
        <v>73</v>
      </c>
      <c r="D74" s="76" t="s">
        <v>202</v>
      </c>
      <c r="E74" s="76">
        <v>0</v>
      </c>
      <c r="F74" s="76" t="s">
        <v>71</v>
      </c>
      <c r="G74" s="76">
        <f>IF(Tabela16[[#This Row],[CICLO INSPECAO]]="Primeiro Ciclo",COUNTIF(Tabela16[[#This Row],[C-01]:[C-120]],"x"),0)</f>
        <v>0</v>
      </c>
      <c r="H74" s="76">
        <f>IF(Tabela16[[#This Row],[CICLO INSPECAO]]="Segundo Ciclo",COUNTIF(Tabela16[[#This Row],[C-01]:[C-120]],"x"),0)</f>
        <v>0</v>
      </c>
      <c r="I74" s="76">
        <f>IF(Tabela16[[#This Row],[CICLO INSPECAO]]="Terceiro Ciclo",COUNTIF(Tabela16[[#This Row],[C-01]:[C-120]],"x"),0)</f>
        <v>0</v>
      </c>
      <c r="J74" s="76">
        <f>IF(Tabela16[[#This Row],[CICLO INSPECAO]]="Quarto Ciclo",COUNTIF(Tabela16[[#This Row],[C-01]:[C-120]],"x"),0)</f>
        <v>0</v>
      </c>
      <c r="K74" s="76">
        <f>IF(Tabela16[[#This Row],[CICLO INSPECAO]]="Troca de Spindle",COUNTIF(Tabela16[[#This Row],[C-01]:[C-120]],"x"),0)</f>
        <v>0</v>
      </c>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c r="DV74" s="37"/>
      <c r="DW74" s="37"/>
      <c r="DX74" s="37"/>
      <c r="DY74" s="37"/>
      <c r="DZ74" s="37"/>
      <c r="EA74" s="37"/>
    </row>
    <row r="75" spans="1:131" x14ac:dyDescent="0.3">
      <c r="A75" s="79">
        <v>45391</v>
      </c>
      <c r="B75" s="76">
        <v>66160</v>
      </c>
      <c r="C75" s="76" t="s">
        <v>73</v>
      </c>
      <c r="D75" s="76" t="s">
        <v>203</v>
      </c>
      <c r="E75" s="76">
        <v>142</v>
      </c>
      <c r="F75" s="76" t="s">
        <v>17</v>
      </c>
      <c r="G75" s="76">
        <f>IF(Tabela16[[#This Row],[CICLO INSPECAO]]="Primeiro Ciclo",COUNTIF(Tabela16[[#This Row],[C-01]:[C-120]],"x"),0)</f>
        <v>0</v>
      </c>
      <c r="H75" s="76">
        <f>IF(Tabela16[[#This Row],[CICLO INSPECAO]]="Segundo Ciclo",COUNTIF(Tabela16[[#This Row],[C-01]:[C-120]],"x"),0)</f>
        <v>0</v>
      </c>
      <c r="I75" s="76">
        <f>IF(Tabela16[[#This Row],[CICLO INSPECAO]]="Terceiro Ciclo",COUNTIF(Tabela16[[#This Row],[C-01]:[C-120]],"x"),0)</f>
        <v>0</v>
      </c>
      <c r="J75" s="76">
        <f>IF(Tabela16[[#This Row],[CICLO INSPECAO]]="Quarto Ciclo",COUNTIF(Tabela16[[#This Row],[C-01]:[C-120]],"x"),0)</f>
        <v>0</v>
      </c>
      <c r="K75" s="76">
        <f>IF(Tabela16[[#This Row],[CICLO INSPECAO]]="Troca de Spindle",COUNTIF(Tabela16[[#This Row],[C-01]:[C-120]],"x"),0)</f>
        <v>0</v>
      </c>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row>
    <row r="76" spans="1:131" x14ac:dyDescent="0.3">
      <c r="A76" s="79">
        <v>45628</v>
      </c>
      <c r="B76" s="76" t="s">
        <v>86</v>
      </c>
      <c r="C76" s="76" t="s">
        <v>73</v>
      </c>
      <c r="D76" s="76" t="s">
        <v>203</v>
      </c>
      <c r="E76" s="76">
        <v>0</v>
      </c>
      <c r="F76" s="76" t="s">
        <v>71</v>
      </c>
      <c r="G76" s="76">
        <f>IF(Tabela16[[#This Row],[CICLO INSPECAO]]="Primeiro Ciclo",COUNTIF(Tabela16[[#This Row],[C-01]:[C-120]],"x"),0)</f>
        <v>0</v>
      </c>
      <c r="H76" s="76">
        <f>IF(Tabela16[[#This Row],[CICLO INSPECAO]]="Segundo Ciclo",COUNTIF(Tabela16[[#This Row],[C-01]:[C-120]],"x"),0)</f>
        <v>0</v>
      </c>
      <c r="I76" s="76">
        <f>IF(Tabela16[[#This Row],[CICLO INSPECAO]]="Terceiro Ciclo",COUNTIF(Tabela16[[#This Row],[C-01]:[C-120]],"x"),0)</f>
        <v>0</v>
      </c>
      <c r="J76" s="76">
        <f>IF(Tabela16[[#This Row],[CICLO INSPECAO]]="Quarto Ciclo",COUNTIF(Tabela16[[#This Row],[C-01]:[C-120]],"x"),0)</f>
        <v>0</v>
      </c>
      <c r="K76" s="76">
        <f>IF(Tabela16[[#This Row],[CICLO INSPECAO]]="Troca de Spindle",COUNTIF(Tabela16[[#This Row],[C-01]:[C-120]],"x"),0)</f>
        <v>0</v>
      </c>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row>
    <row r="77" spans="1:131" x14ac:dyDescent="0.3">
      <c r="A77" s="79">
        <v>45748</v>
      </c>
      <c r="B77" s="76" t="s">
        <v>86</v>
      </c>
      <c r="C77" s="76" t="s">
        <v>73</v>
      </c>
      <c r="D77" s="76" t="s">
        <v>203</v>
      </c>
      <c r="E77" s="76">
        <v>0</v>
      </c>
      <c r="F77" s="76" t="s">
        <v>72</v>
      </c>
      <c r="G77" s="76">
        <f>IF(Tabela16[[#This Row],[CICLO INSPECAO]]="Primeiro Ciclo",COUNTIF(Tabela16[[#This Row],[C-01]:[C-120]],"x"),0)</f>
        <v>0</v>
      </c>
      <c r="H77" s="76">
        <f>IF(Tabela16[[#This Row],[CICLO INSPECAO]]="Segundo Ciclo",COUNTIF(Tabela16[[#This Row],[C-01]:[C-120]],"x"),0)</f>
        <v>0</v>
      </c>
      <c r="I77" s="76">
        <f>IF(Tabela16[[#This Row],[CICLO INSPECAO]]="Terceiro Ciclo",COUNTIF(Tabela16[[#This Row],[C-01]:[C-120]],"x"),0)</f>
        <v>0</v>
      </c>
      <c r="J77" s="76">
        <f>IF(Tabela16[[#This Row],[CICLO INSPECAO]]="Quarto Ciclo",COUNTIF(Tabela16[[#This Row],[C-01]:[C-120]],"x"),0)</f>
        <v>0</v>
      </c>
      <c r="K77" s="76">
        <f>IF(Tabela16[[#This Row],[CICLO INSPECAO]]="Troca de Spindle",COUNTIF(Tabela16[[#This Row],[C-01]:[C-120]],"x"),0)</f>
        <v>0</v>
      </c>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row>
    <row r="78" spans="1:131" x14ac:dyDescent="0.3">
      <c r="A78" s="79">
        <v>45457</v>
      </c>
      <c r="B78" s="76">
        <v>68766</v>
      </c>
      <c r="C78" s="76" t="s">
        <v>81</v>
      </c>
      <c r="D78" s="76" t="s">
        <v>207</v>
      </c>
      <c r="E78" s="76">
        <v>10</v>
      </c>
      <c r="F78" s="76" t="s">
        <v>17</v>
      </c>
      <c r="G78" s="76">
        <f>IF(Tabela16[[#This Row],[CICLO INSPECAO]]="Primeiro Ciclo",COUNTIF(Tabela16[[#This Row],[C-01]:[C-120]],"x"),0)</f>
        <v>1</v>
      </c>
      <c r="H78" s="76">
        <f>IF(Tabela16[[#This Row],[CICLO INSPECAO]]="Segundo Ciclo",COUNTIF(Tabela16[[#This Row],[C-01]:[C-120]],"x"),0)</f>
        <v>0</v>
      </c>
      <c r="I78" s="76">
        <f>IF(Tabela16[[#This Row],[CICLO INSPECAO]]="Terceiro Ciclo",COUNTIF(Tabela16[[#This Row],[C-01]:[C-120]],"x"),0)</f>
        <v>0</v>
      </c>
      <c r="J78" s="76">
        <f>IF(Tabela16[[#This Row],[CICLO INSPECAO]]="Quarto Ciclo",COUNTIF(Tabela16[[#This Row],[C-01]:[C-120]],"x"),0)</f>
        <v>0</v>
      </c>
      <c r="K78" s="76">
        <f>IF(Tabela16[[#This Row],[CICLO INSPECAO]]="Troca de Spindle",COUNTIF(Tabela16[[#This Row],[C-01]:[C-120]],"x"),0)</f>
        <v>0</v>
      </c>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t="s">
        <v>351</v>
      </c>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row>
    <row r="79" spans="1:131" x14ac:dyDescent="0.3">
      <c r="A79" s="79">
        <v>45628</v>
      </c>
      <c r="B79" s="76" t="s">
        <v>86</v>
      </c>
      <c r="C79" s="76" t="s">
        <v>81</v>
      </c>
      <c r="D79" s="76" t="s">
        <v>207</v>
      </c>
      <c r="E79" s="76">
        <v>0</v>
      </c>
      <c r="F79" s="76" t="s">
        <v>71</v>
      </c>
      <c r="G79" s="76">
        <f>IF(Tabela16[[#This Row],[CICLO INSPECAO]]="Primeiro Ciclo",COUNTIF(Tabela16[[#This Row],[C-01]:[C-120]],"x"),0)</f>
        <v>0</v>
      </c>
      <c r="H79" s="76">
        <f>IF(Tabela16[[#This Row],[CICLO INSPECAO]]="Segundo Ciclo",COUNTIF(Tabela16[[#This Row],[C-01]:[C-120]],"x"),0)</f>
        <v>0</v>
      </c>
      <c r="I79" s="76">
        <f>IF(Tabela16[[#This Row],[CICLO INSPECAO]]="Terceiro Ciclo",COUNTIF(Tabela16[[#This Row],[C-01]:[C-120]],"x"),0)</f>
        <v>0</v>
      </c>
      <c r="J79" s="76">
        <f>IF(Tabela16[[#This Row],[CICLO INSPECAO]]="Quarto Ciclo",COUNTIF(Tabela16[[#This Row],[C-01]:[C-120]],"x"),0)</f>
        <v>0</v>
      </c>
      <c r="K79" s="76">
        <f>IF(Tabela16[[#This Row],[CICLO INSPECAO]]="Troca de Spindle",COUNTIF(Tabela16[[#This Row],[C-01]:[C-120]],"x"),0)</f>
        <v>0</v>
      </c>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row>
    <row r="80" spans="1:131" x14ac:dyDescent="0.3">
      <c r="A80" s="79">
        <v>45422</v>
      </c>
      <c r="B80" s="76" t="s">
        <v>86</v>
      </c>
      <c r="C80" s="76" t="s">
        <v>73</v>
      </c>
      <c r="D80" s="76" t="s">
        <v>204</v>
      </c>
      <c r="E80" s="76">
        <v>0</v>
      </c>
      <c r="F80" s="76" t="s">
        <v>17</v>
      </c>
      <c r="G80" s="76">
        <f>IF(Tabela16[[#This Row],[CICLO INSPECAO]]="Primeiro Ciclo",COUNTIF(Tabela16[[#This Row],[C-01]:[C-120]],"x"),0)</f>
        <v>0</v>
      </c>
      <c r="H80" s="76">
        <f>IF(Tabela16[[#This Row],[CICLO INSPECAO]]="Segundo Ciclo",COUNTIF(Tabela16[[#This Row],[C-01]:[C-120]],"x"),0)</f>
        <v>0</v>
      </c>
      <c r="I80" s="76">
        <f>IF(Tabela16[[#This Row],[CICLO INSPECAO]]="Terceiro Ciclo",COUNTIF(Tabela16[[#This Row],[C-01]:[C-120]],"x"),0)</f>
        <v>0</v>
      </c>
      <c r="J80" s="76">
        <f>IF(Tabela16[[#This Row],[CICLO INSPECAO]]="Quarto Ciclo",COUNTIF(Tabela16[[#This Row],[C-01]:[C-120]],"x"),0)</f>
        <v>0</v>
      </c>
      <c r="K80" s="76">
        <f>IF(Tabela16[[#This Row],[CICLO INSPECAO]]="Troca de Spindle",COUNTIF(Tabela16[[#This Row],[C-01]:[C-120]],"x"),0)</f>
        <v>0</v>
      </c>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row>
    <row r="81" spans="1:131" x14ac:dyDescent="0.3">
      <c r="A81" s="79">
        <v>45635</v>
      </c>
      <c r="B81" s="76" t="s">
        <v>86</v>
      </c>
      <c r="C81" s="76" t="s">
        <v>73</v>
      </c>
      <c r="D81" s="76" t="s">
        <v>204</v>
      </c>
      <c r="E81" s="76">
        <v>10</v>
      </c>
      <c r="F81" s="76" t="s">
        <v>71</v>
      </c>
      <c r="G81" s="76">
        <f>IF(Tabela16[[#This Row],[CICLO INSPECAO]]="Primeiro Ciclo",COUNTIF(Tabela16[[#This Row],[C-01]:[C-120]],"x"),0)</f>
        <v>0</v>
      </c>
      <c r="H81" s="76">
        <f>IF(Tabela16[[#This Row],[CICLO INSPECAO]]="Segundo Ciclo",COUNTIF(Tabela16[[#This Row],[C-01]:[C-120]],"x"),0)</f>
        <v>1</v>
      </c>
      <c r="I81" s="76">
        <f>IF(Tabela16[[#This Row],[CICLO INSPECAO]]="Terceiro Ciclo",COUNTIF(Tabela16[[#This Row],[C-01]:[C-120]],"x"),0)</f>
        <v>0</v>
      </c>
      <c r="J81" s="76">
        <f>IF(Tabela16[[#This Row],[CICLO INSPECAO]]="Quarto Ciclo",COUNTIF(Tabela16[[#This Row],[C-01]:[C-120]],"x"),0)</f>
        <v>0</v>
      </c>
      <c r="K81" s="76">
        <f>IF(Tabela16[[#This Row],[CICLO INSPECAO]]="Troca de Spindle",COUNTIF(Tabela16[[#This Row],[C-01]:[C-120]],"x"),0)</f>
        <v>0</v>
      </c>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t="s">
        <v>351</v>
      </c>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row>
    <row r="82" spans="1:131" x14ac:dyDescent="0.3">
      <c r="A82" s="79">
        <v>45460</v>
      </c>
      <c r="B82" s="76" t="s">
        <v>86</v>
      </c>
      <c r="C82" s="76" t="s">
        <v>81</v>
      </c>
      <c r="D82" s="76" t="s">
        <v>208</v>
      </c>
      <c r="E82" s="76">
        <v>0</v>
      </c>
      <c r="F82" s="76" t="s">
        <v>17</v>
      </c>
      <c r="G82" s="76">
        <f>IF(Tabela16[[#This Row],[CICLO INSPECAO]]="Primeiro Ciclo",COUNTIF(Tabela16[[#This Row],[C-01]:[C-120]],"x"),0)</f>
        <v>0</v>
      </c>
      <c r="H82" s="76">
        <f>IF(Tabela16[[#This Row],[CICLO INSPECAO]]="Segundo Ciclo",COUNTIF(Tabela16[[#This Row],[C-01]:[C-120]],"x"),0)</f>
        <v>0</v>
      </c>
      <c r="I82" s="76">
        <f>IF(Tabela16[[#This Row],[CICLO INSPECAO]]="Terceiro Ciclo",COUNTIF(Tabela16[[#This Row],[C-01]:[C-120]],"x"),0)</f>
        <v>0</v>
      </c>
      <c r="J82" s="76">
        <f>IF(Tabela16[[#This Row],[CICLO INSPECAO]]="Quarto Ciclo",COUNTIF(Tabela16[[#This Row],[C-01]:[C-120]],"x"),0)</f>
        <v>0</v>
      </c>
      <c r="K82" s="76">
        <f>IF(Tabela16[[#This Row],[CICLO INSPECAO]]="Troca de Spindle",COUNTIF(Tabela16[[#This Row],[C-01]:[C-120]],"x"),0)</f>
        <v>0</v>
      </c>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row>
    <row r="83" spans="1:131" x14ac:dyDescent="0.3">
      <c r="A83" s="79">
        <v>45623</v>
      </c>
      <c r="B83" s="76" t="s">
        <v>86</v>
      </c>
      <c r="C83" s="76" t="s">
        <v>81</v>
      </c>
      <c r="D83" s="76" t="s">
        <v>208</v>
      </c>
      <c r="E83" s="76">
        <v>0</v>
      </c>
      <c r="F83" s="76" t="s">
        <v>71</v>
      </c>
      <c r="G83" s="76">
        <f>IF(Tabela16[[#This Row],[CICLO INSPECAO]]="Primeiro Ciclo",COUNTIF(Tabela16[[#This Row],[C-01]:[C-120]],"x"),0)</f>
        <v>0</v>
      </c>
      <c r="H83" s="76">
        <f>IF(Tabela16[[#This Row],[CICLO INSPECAO]]="Segundo Ciclo",COUNTIF(Tabela16[[#This Row],[C-01]:[C-120]],"x"),0)</f>
        <v>0</v>
      </c>
      <c r="I83" s="76">
        <f>IF(Tabela16[[#This Row],[CICLO INSPECAO]]="Terceiro Ciclo",COUNTIF(Tabela16[[#This Row],[C-01]:[C-120]],"x"),0)</f>
        <v>0</v>
      </c>
      <c r="J83" s="76">
        <f>IF(Tabela16[[#This Row],[CICLO INSPECAO]]="Quarto Ciclo",COUNTIF(Tabela16[[#This Row],[C-01]:[C-120]],"x"),0)</f>
        <v>0</v>
      </c>
      <c r="K83" s="76">
        <f>IF(Tabela16[[#This Row],[CICLO INSPECAO]]="Troca de Spindle",COUNTIF(Tabela16[[#This Row],[C-01]:[C-120]],"x"),0)</f>
        <v>0</v>
      </c>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row>
    <row r="84" spans="1:131" x14ac:dyDescent="0.3">
      <c r="A84" s="79">
        <v>45737</v>
      </c>
      <c r="B84" s="76" t="s">
        <v>86</v>
      </c>
      <c r="C84" s="76" t="s">
        <v>81</v>
      </c>
      <c r="D84" s="76" t="s">
        <v>208</v>
      </c>
      <c r="E84" s="76">
        <v>0</v>
      </c>
      <c r="F84" s="76" t="s">
        <v>72</v>
      </c>
      <c r="G84" s="76">
        <f>IF(Tabela16[[#This Row],[CICLO INSPECAO]]="Primeiro Ciclo",COUNTIF(Tabela16[[#This Row],[C-01]:[C-120]],"x"),0)</f>
        <v>0</v>
      </c>
      <c r="H84" s="76">
        <f>IF(Tabela16[[#This Row],[CICLO INSPECAO]]="Segundo Ciclo",COUNTIF(Tabela16[[#This Row],[C-01]:[C-120]],"x"),0)</f>
        <v>0</v>
      </c>
      <c r="I84" s="76">
        <f>IF(Tabela16[[#This Row],[CICLO INSPECAO]]="Terceiro Ciclo",COUNTIF(Tabela16[[#This Row],[C-01]:[C-120]],"x"),0)</f>
        <v>0</v>
      </c>
      <c r="J84" s="76">
        <f>IF(Tabela16[[#This Row],[CICLO INSPECAO]]="Quarto Ciclo",COUNTIF(Tabela16[[#This Row],[C-01]:[C-120]],"x"),0)</f>
        <v>0</v>
      </c>
      <c r="K84" s="76">
        <f>IF(Tabela16[[#This Row],[CICLO INSPECAO]]="Troca de Spindle",COUNTIF(Tabela16[[#This Row],[C-01]:[C-120]],"x"),0)</f>
        <v>0</v>
      </c>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row>
    <row r="85" spans="1:131" x14ac:dyDescent="0.3">
      <c r="A85" s="79">
        <v>45384</v>
      </c>
      <c r="B85" s="76">
        <v>66159</v>
      </c>
      <c r="C85" s="76" t="s">
        <v>81</v>
      </c>
      <c r="D85" s="76" t="s">
        <v>209</v>
      </c>
      <c r="E85" s="76">
        <v>80</v>
      </c>
      <c r="F85" s="76" t="s">
        <v>17</v>
      </c>
      <c r="G85" s="76">
        <f>IF(Tabela16[[#This Row],[CICLO INSPECAO]]="Primeiro Ciclo",COUNTIF(Tabela16[[#This Row],[C-01]:[C-120]],"x"),0)</f>
        <v>8</v>
      </c>
      <c r="H85" s="76">
        <f>IF(Tabela16[[#This Row],[CICLO INSPECAO]]="Segundo Ciclo",COUNTIF(Tabela16[[#This Row],[C-01]:[C-120]],"x"),0)</f>
        <v>0</v>
      </c>
      <c r="I85" s="76">
        <f>IF(Tabela16[[#This Row],[CICLO INSPECAO]]="Terceiro Ciclo",COUNTIF(Tabela16[[#This Row],[C-01]:[C-120]],"x"),0)</f>
        <v>0</v>
      </c>
      <c r="J85" s="76">
        <f>IF(Tabela16[[#This Row],[CICLO INSPECAO]]="Quarto Ciclo",COUNTIF(Tabela16[[#This Row],[C-01]:[C-120]],"x"),0)</f>
        <v>0</v>
      </c>
      <c r="K85" s="76">
        <f>IF(Tabela16[[#This Row],[CICLO INSPECAO]]="Troca de Spindle",COUNTIF(Tabela16[[#This Row],[C-01]:[C-120]],"x"),0)</f>
        <v>0</v>
      </c>
      <c r="L85" s="37"/>
      <c r="M85" s="37"/>
      <c r="N85" s="37"/>
      <c r="O85" s="37"/>
      <c r="P85" s="37"/>
      <c r="Q85" s="37"/>
      <c r="R85" s="37"/>
      <c r="S85" s="37"/>
      <c r="T85" s="37"/>
      <c r="U85" s="37" t="s">
        <v>351</v>
      </c>
      <c r="V85" s="37" t="s">
        <v>351</v>
      </c>
      <c r="W85" s="37"/>
      <c r="X85" s="37"/>
      <c r="Y85" s="37"/>
      <c r="Z85" s="37"/>
      <c r="AA85" s="37"/>
      <c r="AB85" s="37" t="s">
        <v>351</v>
      </c>
      <c r="AC85" s="37"/>
      <c r="AD85" s="37"/>
      <c r="AE85" s="37"/>
      <c r="AF85" s="37"/>
      <c r="AG85" s="37"/>
      <c r="AH85" s="37" t="s">
        <v>351</v>
      </c>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t="s">
        <v>351</v>
      </c>
      <c r="BQ85" s="37" t="s">
        <v>351</v>
      </c>
      <c r="BR85" s="37"/>
      <c r="BS85" s="37"/>
      <c r="BT85" s="37"/>
      <c r="BU85" s="37"/>
      <c r="BV85" s="37"/>
      <c r="BW85" s="37"/>
      <c r="BX85" s="37"/>
      <c r="BY85" s="37"/>
      <c r="BZ85" s="37"/>
      <c r="CA85" s="37"/>
      <c r="CB85" s="37"/>
      <c r="CC85" s="37"/>
      <c r="CD85" s="37"/>
      <c r="CE85" s="37"/>
      <c r="CF85" s="37"/>
      <c r="CG85" s="37"/>
      <c r="CH85" s="37"/>
      <c r="CI85" s="37"/>
      <c r="CJ85" s="37" t="s">
        <v>351</v>
      </c>
      <c r="CK85" s="37"/>
      <c r="CL85" s="37"/>
      <c r="CM85" s="37"/>
      <c r="CN85" s="37"/>
      <c r="CO85" s="37"/>
      <c r="CP85" s="37"/>
      <c r="CQ85" s="37" t="s">
        <v>351</v>
      </c>
      <c r="CR85" s="37"/>
      <c r="CS85" s="37"/>
      <c r="CT85" s="37"/>
      <c r="CU85" s="37"/>
      <c r="CV85" s="37"/>
      <c r="CW85" s="37"/>
      <c r="CX85" s="37"/>
      <c r="CY85" s="37"/>
      <c r="CZ85" s="37"/>
      <c r="DA85" s="37"/>
      <c r="DB85" s="37"/>
      <c r="DC85" s="37"/>
      <c r="DD85" s="37"/>
      <c r="DE85" s="37"/>
      <c r="DF85" s="37"/>
      <c r="DG85" s="37"/>
      <c r="DH85" s="37"/>
      <c r="DI85" s="37"/>
      <c r="DJ85" s="37"/>
      <c r="DK85" s="37"/>
      <c r="DL85" s="37"/>
      <c r="DM85" s="37"/>
      <c r="DN85" s="37"/>
      <c r="DO85" s="37"/>
      <c r="DP85" s="37"/>
      <c r="DQ85" s="37"/>
      <c r="DR85" s="37"/>
      <c r="DS85" s="37"/>
      <c r="DT85" s="37"/>
      <c r="DU85" s="37"/>
      <c r="DV85" s="37"/>
      <c r="DW85" s="37"/>
      <c r="DX85" s="37"/>
      <c r="DY85" s="37"/>
      <c r="DZ85" s="37"/>
      <c r="EA85" s="37"/>
    </row>
    <row r="86" spans="1:131" x14ac:dyDescent="0.3">
      <c r="A86" s="80">
        <v>45619</v>
      </c>
      <c r="B86" s="81" t="s">
        <v>86</v>
      </c>
      <c r="C86" s="81" t="s">
        <v>81</v>
      </c>
      <c r="D86" s="81" t="s">
        <v>209</v>
      </c>
      <c r="E86" s="81">
        <v>0</v>
      </c>
      <c r="F86" s="81" t="s">
        <v>71</v>
      </c>
      <c r="G86" s="81">
        <f>IF(Tabela16[[#This Row],[CICLO INSPECAO]]="Primeiro Ciclo",COUNTIF(Tabela16[[#This Row],[C-01]:[C-120]],"x"),0)</f>
        <v>0</v>
      </c>
      <c r="H86" s="81">
        <f>IF(Tabela16[[#This Row],[CICLO INSPECAO]]="Segundo Ciclo",COUNTIF(Tabela16[[#This Row],[C-01]:[C-120]],"x"),0)</f>
        <v>0</v>
      </c>
      <c r="I86" s="81">
        <f>IF(Tabela16[[#This Row],[CICLO INSPECAO]]="Terceiro Ciclo",COUNTIF(Tabela16[[#This Row],[C-01]:[C-120]],"x"),0)</f>
        <v>0</v>
      </c>
      <c r="J86" s="81">
        <f>IF(Tabela16[[#This Row],[CICLO INSPECAO]]="Quarto Ciclo",COUNTIF(Tabela16[[#This Row],[C-01]:[C-120]],"x"),0)</f>
        <v>0</v>
      </c>
      <c r="K86" s="81">
        <f>IF(Tabela16[[#This Row],[CICLO INSPECAO]]="Troca de Spindle",COUNTIF(Tabela16[[#This Row],[C-01]:[C-120]],"x"),0)</f>
        <v>0</v>
      </c>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59"/>
      <c r="BG86" s="59"/>
      <c r="BH86" s="59"/>
      <c r="BI86" s="59"/>
      <c r="BJ86" s="59"/>
      <c r="BK86" s="59"/>
      <c r="BL86" s="59"/>
      <c r="BM86" s="59"/>
      <c r="BN86" s="59"/>
      <c r="BO86" s="59"/>
      <c r="BP86" s="59"/>
      <c r="BQ86" s="59"/>
      <c r="BR86" s="59"/>
      <c r="BS86" s="59"/>
      <c r="BT86" s="59"/>
      <c r="BU86" s="59"/>
      <c r="BV86" s="59"/>
      <c r="BW86" s="59"/>
      <c r="BX86" s="59"/>
      <c r="BY86" s="59"/>
      <c r="BZ86" s="59"/>
      <c r="CA86" s="59"/>
      <c r="CB86" s="59"/>
      <c r="CC86" s="59"/>
      <c r="CD86" s="59"/>
      <c r="CE86" s="59"/>
      <c r="CF86" s="59"/>
      <c r="CG86" s="59"/>
      <c r="CH86" s="59"/>
      <c r="CI86" s="59"/>
      <c r="CJ86" s="59"/>
      <c r="CK86" s="59"/>
      <c r="CL86" s="59"/>
      <c r="CM86" s="59"/>
      <c r="CN86" s="59"/>
      <c r="CO86" s="59"/>
      <c r="CP86" s="59"/>
      <c r="CQ86" s="59"/>
      <c r="CR86" s="59"/>
      <c r="CS86" s="59"/>
      <c r="CT86" s="59"/>
      <c r="CU86" s="59"/>
      <c r="CV86" s="59"/>
      <c r="CW86" s="59"/>
      <c r="CX86" s="59"/>
      <c r="CY86" s="59"/>
      <c r="CZ86" s="59"/>
      <c r="DA86" s="59"/>
      <c r="DB86" s="59"/>
      <c r="DC86" s="59"/>
      <c r="DD86" s="59"/>
      <c r="DE86" s="59"/>
      <c r="DF86" s="59"/>
      <c r="DG86" s="59"/>
      <c r="DH86" s="59"/>
      <c r="DI86" s="59"/>
      <c r="DJ86" s="59"/>
      <c r="DK86" s="59"/>
      <c r="DL86" s="59"/>
      <c r="DM86" s="59"/>
      <c r="DN86" s="59"/>
      <c r="DO86" s="59"/>
      <c r="DP86" s="59"/>
      <c r="DQ86" s="59"/>
      <c r="DR86" s="59"/>
      <c r="DS86" s="59"/>
      <c r="DT86" s="59"/>
      <c r="DU86" s="59"/>
      <c r="DV86" s="59"/>
      <c r="DW86" s="59"/>
      <c r="DX86" s="59"/>
      <c r="DY86" s="59"/>
      <c r="DZ86" s="59"/>
      <c r="EA86" s="59"/>
    </row>
    <row r="87" spans="1:131" x14ac:dyDescent="0.3">
      <c r="A87" s="79">
        <v>45429</v>
      </c>
      <c r="B87" s="76">
        <v>66935</v>
      </c>
      <c r="C87" s="76" t="s">
        <v>81</v>
      </c>
      <c r="D87" s="76" t="s">
        <v>210</v>
      </c>
      <c r="E87" s="76">
        <v>60</v>
      </c>
      <c r="F87" s="76" t="s">
        <v>17</v>
      </c>
      <c r="G87" s="76">
        <f>IF(Tabela16[[#This Row],[CICLO INSPECAO]]="Primeiro Ciclo",COUNTIF(Tabela16[[#This Row],[C-01]:[C-120]],"x"),0)</f>
        <v>6</v>
      </c>
      <c r="H87" s="76">
        <f>IF(Tabela16[[#This Row],[CICLO INSPECAO]]="Segundo Ciclo",COUNTIF(Tabela16[[#This Row],[C-01]:[C-120]],"x"),0)</f>
        <v>0</v>
      </c>
      <c r="I87" s="76">
        <f>IF(Tabela16[[#This Row],[CICLO INSPECAO]]="Terceiro Ciclo",COUNTIF(Tabela16[[#This Row],[C-01]:[C-120]],"x"),0)</f>
        <v>0</v>
      </c>
      <c r="J87" s="76">
        <f>IF(Tabela16[[#This Row],[CICLO INSPECAO]]="Quarto Ciclo",COUNTIF(Tabela16[[#This Row],[C-01]:[C-120]],"x"),0)</f>
        <v>0</v>
      </c>
      <c r="K87" s="76">
        <f>IF(Tabela16[[#This Row],[CICLO INSPECAO]]="Troca de Spindle",COUNTIF(Tabela16[[#This Row],[C-01]:[C-120]],"x"),0)</f>
        <v>0</v>
      </c>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t="s">
        <v>351</v>
      </c>
      <c r="BP87" s="37" t="s">
        <v>351</v>
      </c>
      <c r="BQ87" s="37" t="s">
        <v>351</v>
      </c>
      <c r="BR87" s="37"/>
      <c r="BS87" s="37"/>
      <c r="BT87" s="37" t="s">
        <v>351</v>
      </c>
      <c r="BU87" s="37"/>
      <c r="BV87" s="37" t="s">
        <v>351</v>
      </c>
      <c r="BW87" s="37" t="s">
        <v>351</v>
      </c>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K87" s="37"/>
      <c r="DL87" s="37"/>
      <c r="DM87" s="37"/>
      <c r="DN87" s="37"/>
      <c r="DO87" s="37"/>
      <c r="DP87" s="37"/>
      <c r="DQ87" s="37"/>
      <c r="DR87" s="37"/>
      <c r="DS87" s="37"/>
      <c r="DT87" s="37"/>
      <c r="DU87" s="37"/>
      <c r="DV87" s="37"/>
      <c r="DW87" s="37"/>
      <c r="DX87" s="37"/>
      <c r="DY87" s="37"/>
      <c r="DZ87" s="37"/>
      <c r="EA87" s="37"/>
    </row>
    <row r="88" spans="1:131" x14ac:dyDescent="0.3">
      <c r="A88" s="79">
        <v>45630</v>
      </c>
      <c r="B88" s="76" t="s">
        <v>86</v>
      </c>
      <c r="C88" s="76" t="s">
        <v>81</v>
      </c>
      <c r="D88" s="76" t="s">
        <v>210</v>
      </c>
      <c r="E88" s="76">
        <v>0</v>
      </c>
      <c r="F88" s="76" t="s">
        <v>71</v>
      </c>
      <c r="G88" s="76">
        <f>IF(Tabela16[[#This Row],[CICLO INSPECAO]]="Primeiro Ciclo",COUNTIF(Tabela16[[#This Row],[C-01]:[C-120]],"x"),0)</f>
        <v>0</v>
      </c>
      <c r="H88" s="76">
        <f>IF(Tabela16[[#This Row],[CICLO INSPECAO]]="Segundo Ciclo",COUNTIF(Tabela16[[#This Row],[C-01]:[C-120]],"x"),0)</f>
        <v>0</v>
      </c>
      <c r="I88" s="76">
        <f>IF(Tabela16[[#This Row],[CICLO INSPECAO]]="Terceiro Ciclo",COUNTIF(Tabela16[[#This Row],[C-01]:[C-120]],"x"),0)</f>
        <v>0</v>
      </c>
      <c r="J88" s="76">
        <f>IF(Tabela16[[#This Row],[CICLO INSPECAO]]="Quarto Ciclo",COUNTIF(Tabela16[[#This Row],[C-01]:[C-120]],"x"),0)</f>
        <v>0</v>
      </c>
      <c r="K88" s="76">
        <f>IF(Tabela16[[#This Row],[CICLO INSPECAO]]="Troca de Spindle",COUNTIF(Tabela16[[#This Row],[C-01]:[C-120]],"x"),0)</f>
        <v>0</v>
      </c>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K88" s="37"/>
      <c r="DL88" s="37"/>
      <c r="DM88" s="37"/>
      <c r="DN88" s="37"/>
      <c r="DO88" s="37"/>
      <c r="DP88" s="37"/>
      <c r="DQ88" s="37"/>
      <c r="DR88" s="37"/>
      <c r="DS88" s="37"/>
      <c r="DT88" s="37"/>
      <c r="DU88" s="37"/>
      <c r="DV88" s="37"/>
      <c r="DW88" s="37"/>
      <c r="DX88" s="37"/>
      <c r="DY88" s="37"/>
      <c r="DZ88" s="37"/>
      <c r="EA88" s="37"/>
    </row>
    <row r="89" spans="1:131" x14ac:dyDescent="0.3">
      <c r="A89" s="79">
        <v>45408</v>
      </c>
      <c r="B89" s="76">
        <v>66934</v>
      </c>
      <c r="C89" s="76" t="s">
        <v>16</v>
      </c>
      <c r="D89" s="76" t="s">
        <v>183</v>
      </c>
      <c r="E89" s="76">
        <v>200</v>
      </c>
      <c r="F89" s="76" t="s">
        <v>17</v>
      </c>
      <c r="G89" s="76">
        <f>IF(Tabela16[[#This Row],[CICLO INSPECAO]]="Primeiro Ciclo",COUNTIF(Tabela16[[#This Row],[C-01]:[C-120]],"x"),0)</f>
        <v>20</v>
      </c>
      <c r="H89" s="76">
        <f>IF(Tabela16[[#This Row],[CICLO INSPECAO]]="Segundo Ciclo",COUNTIF(Tabela16[[#This Row],[C-01]:[C-120]],"x"),0)</f>
        <v>0</v>
      </c>
      <c r="I89" s="76">
        <f>IF(Tabela16[[#This Row],[CICLO INSPECAO]]="Terceiro Ciclo",COUNTIF(Tabela16[[#This Row],[C-01]:[C-120]],"x"),0)</f>
        <v>0</v>
      </c>
      <c r="J89" s="76">
        <f>IF(Tabela16[[#This Row],[CICLO INSPECAO]]="Quarto Ciclo",COUNTIF(Tabela16[[#This Row],[C-01]:[C-120]],"x"),0)</f>
        <v>0</v>
      </c>
      <c r="K89" s="76">
        <f>IF(Tabela16[[#This Row],[CICLO INSPECAO]]="Troca de Spindle",COUNTIF(Tabela16[[#This Row],[C-01]:[C-120]],"x"),0)</f>
        <v>0</v>
      </c>
      <c r="L89" s="37" t="s">
        <v>351</v>
      </c>
      <c r="M89" s="37" t="s">
        <v>351</v>
      </c>
      <c r="N89" s="37" t="s">
        <v>351</v>
      </c>
      <c r="O89" s="37" t="s">
        <v>351</v>
      </c>
      <c r="P89" s="37" t="s">
        <v>351</v>
      </c>
      <c r="Q89" s="37" t="s">
        <v>351</v>
      </c>
      <c r="R89" s="37"/>
      <c r="S89" s="37"/>
      <c r="T89" s="37"/>
      <c r="U89" s="37"/>
      <c r="V89" s="37" t="s">
        <v>351</v>
      </c>
      <c r="W89" s="37"/>
      <c r="X89" s="37"/>
      <c r="Y89" s="37"/>
      <c r="Z89" s="37" t="s">
        <v>351</v>
      </c>
      <c r="AA89" s="37"/>
      <c r="AB89" s="37" t="s">
        <v>351</v>
      </c>
      <c r="AC89" s="37" t="s">
        <v>351</v>
      </c>
      <c r="AD89" s="37" t="s">
        <v>351</v>
      </c>
      <c r="AE89" s="37" t="s">
        <v>351</v>
      </c>
      <c r="AF89" s="37"/>
      <c r="AG89" s="37"/>
      <c r="AH89" s="37"/>
      <c r="AI89" s="37"/>
      <c r="AJ89" s="37"/>
      <c r="AK89" s="37"/>
      <c r="AL89" s="37"/>
      <c r="AM89" s="37"/>
      <c r="AN89" s="37"/>
      <c r="AO89" s="37" t="s">
        <v>351</v>
      </c>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K89" s="37"/>
      <c r="DL89" s="37"/>
      <c r="DM89" s="37"/>
      <c r="DN89" s="37"/>
      <c r="DO89" s="37"/>
      <c r="DP89" s="37"/>
      <c r="DQ89" s="37"/>
      <c r="DR89" s="37"/>
      <c r="DS89" s="37"/>
      <c r="DT89" s="37"/>
      <c r="DU89" s="37" t="s">
        <v>351</v>
      </c>
      <c r="DV89" s="37" t="s">
        <v>351</v>
      </c>
      <c r="DW89" s="37" t="s">
        <v>351</v>
      </c>
      <c r="DX89" s="37" t="s">
        <v>351</v>
      </c>
      <c r="DY89" s="37" t="s">
        <v>351</v>
      </c>
      <c r="DZ89" s="37" t="s">
        <v>351</v>
      </c>
      <c r="EA89" s="37" t="s">
        <v>351</v>
      </c>
    </row>
    <row r="90" spans="1:131" x14ac:dyDescent="0.3">
      <c r="A90" s="79">
        <v>45608</v>
      </c>
      <c r="B90" s="76" t="s">
        <v>86</v>
      </c>
      <c r="C90" s="76" t="s">
        <v>16</v>
      </c>
      <c r="D90" s="76" t="s">
        <v>183</v>
      </c>
      <c r="E90" s="76">
        <v>20</v>
      </c>
      <c r="F90" s="76" t="s">
        <v>71</v>
      </c>
      <c r="G90" s="76">
        <f>IF(Tabela16[[#This Row],[CICLO INSPECAO]]="Primeiro Ciclo",COUNTIF(Tabela16[[#This Row],[C-01]:[C-120]],"x"),0)</f>
        <v>0</v>
      </c>
      <c r="H90" s="76">
        <f>IF(Tabela16[[#This Row],[CICLO INSPECAO]]="Segundo Ciclo",COUNTIF(Tabela16[[#This Row],[C-01]:[C-120]],"x"),0)</f>
        <v>2</v>
      </c>
      <c r="I90" s="76">
        <f>IF(Tabela16[[#This Row],[CICLO INSPECAO]]="Terceiro Ciclo",COUNTIF(Tabela16[[#This Row],[C-01]:[C-120]],"x"),0)</f>
        <v>0</v>
      </c>
      <c r="J90" s="76">
        <f>IF(Tabela16[[#This Row],[CICLO INSPECAO]]="Quarto Ciclo",COUNTIF(Tabela16[[#This Row],[C-01]:[C-120]],"x"),0)</f>
        <v>0</v>
      </c>
      <c r="K90" s="76">
        <f>IF(Tabela16[[#This Row],[CICLO INSPECAO]]="Troca de Spindle",COUNTIF(Tabela16[[#This Row],[C-01]:[C-120]],"x"),0)</f>
        <v>0</v>
      </c>
      <c r="L90" s="7"/>
      <c r="M90" s="7"/>
      <c r="N90" s="7"/>
      <c r="O90" s="7"/>
      <c r="P90" s="7"/>
      <c r="Q90" s="7"/>
      <c r="R90" s="7"/>
      <c r="S90" s="7"/>
      <c r="T90" s="7"/>
      <c r="U90" s="7" t="s">
        <v>351</v>
      </c>
      <c r="V90" s="7"/>
      <c r="W90" s="7"/>
      <c r="X90" s="7"/>
      <c r="Y90" s="7"/>
      <c r="Z90" s="7"/>
      <c r="AA90" s="7"/>
      <c r="AB90" s="7"/>
      <c r="AC90" s="7"/>
      <c r="AD90" s="7"/>
      <c r="AE90" s="7"/>
      <c r="AF90" s="7"/>
      <c r="AG90" s="7"/>
      <c r="AH90" s="7"/>
      <c r="AI90" s="7" t="s">
        <v>351</v>
      </c>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row>
    <row r="91" spans="1:131" x14ac:dyDescent="0.3">
      <c r="A91" s="79">
        <v>45758</v>
      </c>
      <c r="B91" s="76" t="s">
        <v>86</v>
      </c>
      <c r="C91" s="76" t="s">
        <v>16</v>
      </c>
      <c r="D91" s="76" t="s">
        <v>183</v>
      </c>
      <c r="E91" s="76">
        <v>180</v>
      </c>
      <c r="F91" s="76" t="s">
        <v>72</v>
      </c>
      <c r="G91" s="76">
        <f>IF(Tabela16[[#This Row],[CICLO INSPECAO]]="Primeiro Ciclo",COUNTIF(Tabela16[[#This Row],[C-01]:[C-120]],"x"),0)</f>
        <v>0</v>
      </c>
      <c r="H91" s="76">
        <f>IF(Tabela16[[#This Row],[CICLO INSPECAO]]="Segundo Ciclo",COUNTIF(Tabela16[[#This Row],[C-01]:[C-120]],"x"),0)</f>
        <v>0</v>
      </c>
      <c r="I91" s="76">
        <f>IF(Tabela16[[#This Row],[CICLO INSPECAO]]="Terceiro Ciclo",COUNTIF(Tabela16[[#This Row],[C-01]:[C-120]],"x"),0)</f>
        <v>18</v>
      </c>
      <c r="J91" s="76">
        <f>IF(Tabela16[[#This Row],[CICLO INSPECAO]]="Quarto Ciclo",COUNTIF(Tabela16[[#This Row],[C-01]:[C-120]],"x"),0)</f>
        <v>0</v>
      </c>
      <c r="K91" s="76">
        <f>IF(Tabela16[[#This Row],[CICLO INSPECAO]]="Troca de Spindle",COUNTIF(Tabela16[[#This Row],[C-01]:[C-120]],"x"),0)</f>
        <v>0</v>
      </c>
      <c r="L91" s="37"/>
      <c r="M91" s="37"/>
      <c r="N91" s="37"/>
      <c r="O91" s="37"/>
      <c r="P91" s="37"/>
      <c r="Q91" s="37"/>
      <c r="R91" s="37"/>
      <c r="S91" s="37"/>
      <c r="T91" s="37"/>
      <c r="U91" s="37"/>
      <c r="V91" s="37"/>
      <c r="W91" s="37"/>
      <c r="X91" s="37"/>
      <c r="Y91" s="37"/>
      <c r="Z91" s="37"/>
      <c r="AA91" s="37"/>
      <c r="AB91" s="37"/>
      <c r="AC91" s="37"/>
      <c r="AD91" s="37"/>
      <c r="AE91" s="37"/>
      <c r="AF91" s="37"/>
      <c r="AG91" s="37"/>
      <c r="AH91" s="37" t="s">
        <v>351</v>
      </c>
      <c r="AI91" s="37"/>
      <c r="AJ91" s="37"/>
      <c r="AK91" s="37"/>
      <c r="AL91" s="37"/>
      <c r="AM91" s="37" t="s">
        <v>351</v>
      </c>
      <c r="AN91" s="37" t="s">
        <v>351</v>
      </c>
      <c r="AO91" s="37"/>
      <c r="AP91" s="37" t="s">
        <v>351</v>
      </c>
      <c r="AQ91" s="37"/>
      <c r="AR91" s="37"/>
      <c r="AS91" s="37"/>
      <c r="AT91" s="37" t="s">
        <v>351</v>
      </c>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t="s">
        <v>351</v>
      </c>
      <c r="BU91" s="37"/>
      <c r="BV91" s="37"/>
      <c r="BW91" s="37"/>
      <c r="BX91" s="37"/>
      <c r="BY91" s="37"/>
      <c r="BZ91" s="37"/>
      <c r="CA91" s="37"/>
      <c r="CB91" s="37"/>
      <c r="CC91" s="37"/>
      <c r="CD91" s="37"/>
      <c r="CE91" s="37"/>
      <c r="CF91" s="37"/>
      <c r="CG91" s="37" t="s">
        <v>351</v>
      </c>
      <c r="CH91" s="37" t="s">
        <v>351</v>
      </c>
      <c r="CI91" s="37"/>
      <c r="CJ91" s="37"/>
      <c r="CK91" s="37"/>
      <c r="CL91" s="37" t="s">
        <v>351</v>
      </c>
      <c r="CM91" s="37" t="s">
        <v>351</v>
      </c>
      <c r="CN91" s="37" t="s">
        <v>351</v>
      </c>
      <c r="CO91" s="37" t="s">
        <v>351</v>
      </c>
      <c r="CP91" s="37" t="s">
        <v>351</v>
      </c>
      <c r="CQ91" s="37"/>
      <c r="CR91" s="37"/>
      <c r="CS91" s="37"/>
      <c r="CT91" s="37"/>
      <c r="CU91" s="37"/>
      <c r="CV91" s="37"/>
      <c r="CW91" s="37"/>
      <c r="CX91" s="37"/>
      <c r="CY91" s="37"/>
      <c r="CZ91" s="37" t="s">
        <v>351</v>
      </c>
      <c r="DA91" s="37"/>
      <c r="DB91" s="37"/>
      <c r="DC91" s="37"/>
      <c r="DD91" s="37" t="s">
        <v>351</v>
      </c>
      <c r="DE91" s="37" t="s">
        <v>351</v>
      </c>
      <c r="DF91" s="37"/>
      <c r="DG91" s="37"/>
      <c r="DH91" s="37"/>
      <c r="DI91" s="37"/>
      <c r="DJ91" s="37"/>
      <c r="DK91" s="37"/>
      <c r="DL91" s="37"/>
      <c r="DM91" s="37"/>
      <c r="DN91" s="37" t="s">
        <v>351</v>
      </c>
      <c r="DO91" s="37" t="s">
        <v>351</v>
      </c>
      <c r="DP91" s="37"/>
      <c r="DQ91" s="37"/>
      <c r="DR91" s="37"/>
      <c r="DS91" s="37"/>
      <c r="DT91" s="37"/>
      <c r="DU91" s="37"/>
      <c r="DV91" s="37"/>
      <c r="DW91" s="37"/>
      <c r="DX91" s="37"/>
      <c r="DY91" s="37"/>
      <c r="DZ91" s="37"/>
      <c r="EA91" s="37"/>
    </row>
    <row r="92" spans="1:131" x14ac:dyDescent="0.3">
      <c r="A92" s="79">
        <v>45415</v>
      </c>
      <c r="B92" s="76">
        <v>66933</v>
      </c>
      <c r="C92" s="76" t="s">
        <v>81</v>
      </c>
      <c r="D92" s="76" t="s">
        <v>211</v>
      </c>
      <c r="E92" s="76">
        <v>260</v>
      </c>
      <c r="F92" s="76" t="s">
        <v>17</v>
      </c>
      <c r="G92" s="76">
        <f>IF(Tabela16[[#This Row],[CICLO INSPECAO]]="Primeiro Ciclo",COUNTIF(Tabela16[[#This Row],[C-01]:[C-120]],"x"),0)</f>
        <v>26</v>
      </c>
      <c r="H92" s="76">
        <f>IF(Tabela16[[#This Row],[CICLO INSPECAO]]="Segundo Ciclo",COUNTIF(Tabela16[[#This Row],[C-01]:[C-120]],"x"),0)</f>
        <v>0</v>
      </c>
      <c r="I92" s="76">
        <f>IF(Tabela16[[#This Row],[CICLO INSPECAO]]="Terceiro Ciclo",COUNTIF(Tabela16[[#This Row],[C-01]:[C-120]],"x"),0)</f>
        <v>0</v>
      </c>
      <c r="J92" s="76">
        <f>IF(Tabela16[[#This Row],[CICLO INSPECAO]]="Quarto Ciclo",COUNTIF(Tabela16[[#This Row],[C-01]:[C-120]],"x"),0)</f>
        <v>0</v>
      </c>
      <c r="K92" s="76">
        <f>IF(Tabela16[[#This Row],[CICLO INSPECAO]]="Troca de Spindle",COUNTIF(Tabela16[[#This Row],[C-01]:[C-120]],"x"),0)</f>
        <v>0</v>
      </c>
      <c r="L92" s="37"/>
      <c r="M92" s="37"/>
      <c r="N92" s="37"/>
      <c r="O92" s="37"/>
      <c r="P92" s="37"/>
      <c r="Q92" s="37" t="s">
        <v>351</v>
      </c>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t="s">
        <v>351</v>
      </c>
      <c r="BG92" s="37"/>
      <c r="BH92" s="37"/>
      <c r="BI92" s="37"/>
      <c r="BJ92" s="37"/>
      <c r="BK92" s="37"/>
      <c r="BL92" s="37"/>
      <c r="BM92" s="37"/>
      <c r="BN92" s="37"/>
      <c r="BO92" s="37"/>
      <c r="BP92" s="37"/>
      <c r="BQ92" s="37"/>
      <c r="BR92" s="37"/>
      <c r="BS92" s="37"/>
      <c r="BT92" s="37"/>
      <c r="BU92" s="37"/>
      <c r="BV92" s="37"/>
      <c r="BW92" s="37" t="s">
        <v>351</v>
      </c>
      <c r="BX92" s="37" t="s">
        <v>351</v>
      </c>
      <c r="BY92" s="37"/>
      <c r="BZ92" s="37" t="s">
        <v>351</v>
      </c>
      <c r="CA92" s="37"/>
      <c r="CB92" s="37" t="s">
        <v>351</v>
      </c>
      <c r="CC92" s="37" t="s">
        <v>351</v>
      </c>
      <c r="CD92" s="37" t="s">
        <v>351</v>
      </c>
      <c r="CE92" s="37"/>
      <c r="CF92" s="37"/>
      <c r="CG92" s="37" t="s">
        <v>351</v>
      </c>
      <c r="CH92" s="37" t="s">
        <v>351</v>
      </c>
      <c r="CI92" s="37" t="s">
        <v>351</v>
      </c>
      <c r="CJ92" s="37" t="s">
        <v>351</v>
      </c>
      <c r="CK92" s="37" t="s">
        <v>351</v>
      </c>
      <c r="CL92" s="37"/>
      <c r="CM92" s="37"/>
      <c r="CN92" s="37" t="s">
        <v>351</v>
      </c>
      <c r="CO92" s="37" t="s">
        <v>351</v>
      </c>
      <c r="CP92" s="37" t="s">
        <v>351</v>
      </c>
      <c r="CQ92" s="37" t="s">
        <v>351</v>
      </c>
      <c r="CR92" s="37" t="s">
        <v>351</v>
      </c>
      <c r="CS92" s="37" t="s">
        <v>351</v>
      </c>
      <c r="CT92" s="37" t="s">
        <v>351</v>
      </c>
      <c r="CU92" s="37" t="s">
        <v>351</v>
      </c>
      <c r="CV92" s="37" t="s">
        <v>351</v>
      </c>
      <c r="CW92" s="37" t="s">
        <v>351</v>
      </c>
      <c r="CX92" s="37" t="s">
        <v>351</v>
      </c>
      <c r="CY92" s="37"/>
      <c r="CZ92" s="37" t="s">
        <v>351</v>
      </c>
      <c r="DA92" s="37"/>
      <c r="DB92" s="37"/>
      <c r="DC92" s="37"/>
      <c r="DD92" s="37"/>
      <c r="DE92" s="37"/>
      <c r="DF92" s="37"/>
      <c r="DG92" s="37"/>
      <c r="DH92" s="37"/>
      <c r="DI92" s="37"/>
      <c r="DJ92" s="37"/>
      <c r="DK92" s="37"/>
      <c r="DL92" s="37"/>
      <c r="DM92" s="37"/>
      <c r="DN92" s="37"/>
      <c r="DO92" s="37"/>
      <c r="DP92" s="37"/>
      <c r="DQ92" s="37" t="s">
        <v>351</v>
      </c>
      <c r="DR92" s="37"/>
      <c r="DS92" s="37"/>
      <c r="DT92" s="37"/>
      <c r="DU92" s="37"/>
      <c r="DV92" s="37"/>
      <c r="DW92" s="37"/>
      <c r="DX92" s="37"/>
      <c r="DY92" s="37"/>
      <c r="DZ92" s="37"/>
      <c r="EA92" s="37"/>
    </row>
    <row r="93" spans="1:131" x14ac:dyDescent="0.3">
      <c r="A93" s="79">
        <v>45619</v>
      </c>
      <c r="B93" s="76" t="s">
        <v>86</v>
      </c>
      <c r="C93" s="76" t="s">
        <v>81</v>
      </c>
      <c r="D93" s="76" t="s">
        <v>211</v>
      </c>
      <c r="E93" s="76">
        <v>20</v>
      </c>
      <c r="F93" s="76" t="s">
        <v>71</v>
      </c>
      <c r="G93" s="76">
        <f>IF(Tabela16[[#This Row],[CICLO INSPECAO]]="Primeiro Ciclo",COUNTIF(Tabela16[[#This Row],[C-01]:[C-120]],"x"),0)</f>
        <v>0</v>
      </c>
      <c r="H93" s="76">
        <f>IF(Tabela16[[#This Row],[CICLO INSPECAO]]="Segundo Ciclo",COUNTIF(Tabela16[[#This Row],[C-01]:[C-120]],"x"),0)</f>
        <v>2</v>
      </c>
      <c r="I93" s="76">
        <f>IF(Tabela16[[#This Row],[CICLO INSPECAO]]="Terceiro Ciclo",COUNTIF(Tabela16[[#This Row],[C-01]:[C-120]],"x"),0)</f>
        <v>0</v>
      </c>
      <c r="J93" s="76">
        <f>IF(Tabela16[[#This Row],[CICLO INSPECAO]]="Quarto Ciclo",COUNTIF(Tabela16[[#This Row],[C-01]:[C-120]],"x"),0)</f>
        <v>0</v>
      </c>
      <c r="K93" s="76">
        <f>IF(Tabela16[[#This Row],[CICLO INSPECAO]]="Troca de Spindle",COUNTIF(Tabela16[[#This Row],[C-01]:[C-120]],"x"),0)</f>
        <v>0</v>
      </c>
      <c r="L93" s="7"/>
      <c r="M93" s="7"/>
      <c r="N93" s="7"/>
      <c r="O93" s="7"/>
      <c r="P93" s="7"/>
      <c r="Q93" s="7"/>
      <c r="R93" s="7"/>
      <c r="S93" s="7"/>
      <c r="T93" s="7"/>
      <c r="U93" s="7"/>
      <c r="V93" s="7"/>
      <c r="W93" s="7"/>
      <c r="X93" s="7"/>
      <c r="Y93" s="7"/>
      <c r="Z93" s="7" t="s">
        <v>351</v>
      </c>
      <c r="AA93" s="7"/>
      <c r="AB93" s="7"/>
      <c r="AC93" s="7"/>
      <c r="AD93" s="7"/>
      <c r="AE93" s="7"/>
      <c r="AF93" s="7"/>
      <c r="AG93" s="7"/>
      <c r="AH93" s="7"/>
      <c r="AI93" s="7"/>
      <c r="AJ93" s="7"/>
      <c r="AK93" s="7"/>
      <c r="AL93" s="7"/>
      <c r="AM93" s="7"/>
      <c r="AN93" s="7"/>
      <c r="AO93" s="7"/>
      <c r="AP93" s="7"/>
      <c r="AQ93" s="7"/>
      <c r="AR93" s="7"/>
      <c r="AS93" s="7"/>
      <c r="AT93" s="7"/>
      <c r="AU93" s="7"/>
      <c r="AV93" s="7"/>
      <c r="AW93" s="7"/>
      <c r="AX93" s="7" t="s">
        <v>351</v>
      </c>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row>
    <row r="94" spans="1:131" x14ac:dyDescent="0.3">
      <c r="A94" s="79">
        <v>45736</v>
      </c>
      <c r="B94" s="76" t="s">
        <v>86</v>
      </c>
      <c r="C94" s="76" t="s">
        <v>81</v>
      </c>
      <c r="D94" s="76" t="s">
        <v>211</v>
      </c>
      <c r="E94" s="76">
        <v>20</v>
      </c>
      <c r="F94" s="76" t="s">
        <v>72</v>
      </c>
      <c r="G94" s="76">
        <f>IF(Tabela16[[#This Row],[CICLO INSPECAO]]="Primeiro Ciclo",COUNTIF(Tabela16[[#This Row],[C-01]:[C-120]],"x"),0)</f>
        <v>0</v>
      </c>
      <c r="H94" s="76">
        <f>IF(Tabela16[[#This Row],[CICLO INSPECAO]]="Segundo Ciclo",COUNTIF(Tabela16[[#This Row],[C-01]:[C-120]],"x"),0)</f>
        <v>0</v>
      </c>
      <c r="I94" s="76">
        <f>IF(Tabela16[[#This Row],[CICLO INSPECAO]]="Terceiro Ciclo",COUNTIF(Tabela16[[#This Row],[C-01]:[C-120]],"x"),0)</f>
        <v>4</v>
      </c>
      <c r="J94" s="76">
        <f>IF(Tabela16[[#This Row],[CICLO INSPECAO]]="Quarto Ciclo",COUNTIF(Tabela16[[#This Row],[C-01]:[C-120]],"x"),0)</f>
        <v>0</v>
      </c>
      <c r="K94" s="76">
        <f>IF(Tabela16[[#This Row],[CICLO INSPECAO]]="Troca de Spindle",COUNTIF(Tabela16[[#This Row],[C-01]:[C-120]],"x"),0)</f>
        <v>0</v>
      </c>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t="s">
        <v>351</v>
      </c>
      <c r="CA94" s="7"/>
      <c r="CB94" s="7"/>
      <c r="CC94" s="7"/>
      <c r="CD94" s="7"/>
      <c r="CE94" s="7"/>
      <c r="CF94" s="7"/>
      <c r="CG94" s="7"/>
      <c r="CH94" s="7"/>
      <c r="CI94" s="7"/>
      <c r="CJ94" s="7"/>
      <c r="CK94" s="7"/>
      <c r="CL94" s="7"/>
      <c r="CM94" s="7"/>
      <c r="CN94" s="7"/>
      <c r="CO94" s="7"/>
      <c r="CP94" s="7"/>
      <c r="CQ94" s="7"/>
      <c r="CR94" s="7"/>
      <c r="CS94" s="7"/>
      <c r="CT94" s="7"/>
      <c r="CU94" s="7"/>
      <c r="CV94" s="7"/>
      <c r="CW94" s="7" t="s">
        <v>351</v>
      </c>
      <c r="CX94" s="7"/>
      <c r="CY94" s="7" t="s">
        <v>351</v>
      </c>
      <c r="CZ94" s="7"/>
      <c r="DA94" s="7" t="s">
        <v>424</v>
      </c>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row>
    <row r="95" spans="1:131" x14ac:dyDescent="0.3">
      <c r="A95" s="79">
        <v>45454</v>
      </c>
      <c r="B95" s="76" t="s">
        <v>86</v>
      </c>
      <c r="C95" s="76" t="s">
        <v>81</v>
      </c>
      <c r="D95" s="76" t="s">
        <v>212</v>
      </c>
      <c r="E95" s="76">
        <v>0</v>
      </c>
      <c r="F95" s="76" t="s">
        <v>17</v>
      </c>
      <c r="G95" s="76">
        <f>IF(Tabela16[[#This Row],[CICLO INSPECAO]]="Primeiro Ciclo",COUNTIF(Tabela16[[#This Row],[C-01]:[C-120]],"x"),0)</f>
        <v>0</v>
      </c>
      <c r="H95" s="76">
        <f>IF(Tabela16[[#This Row],[CICLO INSPECAO]]="Segundo Ciclo",COUNTIF(Tabela16[[#This Row],[C-01]:[C-120]],"x"),0)</f>
        <v>0</v>
      </c>
      <c r="I95" s="76">
        <f>IF(Tabela16[[#This Row],[CICLO INSPECAO]]="Terceiro Ciclo",COUNTIF(Tabela16[[#This Row],[C-01]:[C-120]],"x"),0)</f>
        <v>0</v>
      </c>
      <c r="J95" s="76">
        <f>IF(Tabela16[[#This Row],[CICLO INSPECAO]]="Quarto Ciclo",COUNTIF(Tabela16[[#This Row],[C-01]:[C-120]],"x"),0)</f>
        <v>0</v>
      </c>
      <c r="K95" s="76">
        <f>IF(Tabela16[[#This Row],[CICLO INSPECAO]]="Troca de Spindle",COUNTIF(Tabela16[[#This Row],[C-01]:[C-120]],"x"),0)</f>
        <v>0</v>
      </c>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row>
    <row r="96" spans="1:131" x14ac:dyDescent="0.3">
      <c r="A96" s="79">
        <v>45624</v>
      </c>
      <c r="B96" s="76" t="s">
        <v>86</v>
      </c>
      <c r="C96" s="76" t="s">
        <v>81</v>
      </c>
      <c r="D96" s="76" t="s">
        <v>212</v>
      </c>
      <c r="E96" s="76">
        <v>0</v>
      </c>
      <c r="F96" s="76" t="s">
        <v>71</v>
      </c>
      <c r="G96" s="76">
        <f>IF(Tabela16[[#This Row],[CICLO INSPECAO]]="Primeiro Ciclo",COUNTIF(Tabela16[[#This Row],[C-01]:[C-120]],"x"),0)</f>
        <v>0</v>
      </c>
      <c r="H96" s="76">
        <f>IF(Tabela16[[#This Row],[CICLO INSPECAO]]="Segundo Ciclo",COUNTIF(Tabela16[[#This Row],[C-01]:[C-120]],"x"),0)</f>
        <v>0</v>
      </c>
      <c r="I96" s="76">
        <f>IF(Tabela16[[#This Row],[CICLO INSPECAO]]="Terceiro Ciclo",COUNTIF(Tabela16[[#This Row],[C-01]:[C-120]],"x"),0)</f>
        <v>0</v>
      </c>
      <c r="J96" s="76">
        <f>IF(Tabela16[[#This Row],[CICLO INSPECAO]]="Quarto Ciclo",COUNTIF(Tabela16[[#This Row],[C-01]:[C-120]],"x"),0)</f>
        <v>0</v>
      </c>
      <c r="K96" s="76">
        <f>IF(Tabela16[[#This Row],[CICLO INSPECAO]]="Troca de Spindle",COUNTIF(Tabela16[[#This Row],[C-01]:[C-120]],"x"),0)</f>
        <v>0</v>
      </c>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row>
    <row r="97" spans="1:131" x14ac:dyDescent="0.3">
      <c r="A97" s="79">
        <v>45740</v>
      </c>
      <c r="B97" s="76" t="s">
        <v>86</v>
      </c>
      <c r="C97" s="76" t="s">
        <v>81</v>
      </c>
      <c r="D97" s="76" t="s">
        <v>212</v>
      </c>
      <c r="E97" s="76">
        <v>0</v>
      </c>
      <c r="F97" s="76" t="s">
        <v>72</v>
      </c>
      <c r="G97" s="76">
        <f>IF(Tabela16[[#This Row],[CICLO INSPECAO]]="Primeiro Ciclo",COUNTIF(Tabela16[[#This Row],[C-01]:[C-120]],"x"),0)</f>
        <v>0</v>
      </c>
      <c r="H97" s="76">
        <f>IF(Tabela16[[#This Row],[CICLO INSPECAO]]="Segundo Ciclo",COUNTIF(Tabela16[[#This Row],[C-01]:[C-120]],"x"),0)</f>
        <v>0</v>
      </c>
      <c r="I97" s="76">
        <f>IF(Tabela16[[#This Row],[CICLO INSPECAO]]="Terceiro Ciclo",COUNTIF(Tabela16[[#This Row],[C-01]:[C-120]],"x"),0)</f>
        <v>0</v>
      </c>
      <c r="J97" s="76">
        <f>IF(Tabela16[[#This Row],[CICLO INSPECAO]]="Quarto Ciclo",COUNTIF(Tabela16[[#This Row],[C-01]:[C-120]],"x"),0)</f>
        <v>0</v>
      </c>
      <c r="K97" s="76">
        <f>IF(Tabela16[[#This Row],[CICLO INSPECAO]]="Troca de Spindle",COUNTIF(Tabela16[[#This Row],[C-01]:[C-120]],"x"),0)</f>
        <v>0</v>
      </c>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row>
    <row r="98" spans="1:131" x14ac:dyDescent="0.3">
      <c r="A98" s="79">
        <v>45461</v>
      </c>
      <c r="B98" s="76" t="s">
        <v>86</v>
      </c>
      <c r="C98" s="76" t="s">
        <v>81</v>
      </c>
      <c r="D98" s="76" t="s">
        <v>213</v>
      </c>
      <c r="E98" s="76">
        <v>0</v>
      </c>
      <c r="F98" s="76" t="s">
        <v>17</v>
      </c>
      <c r="G98" s="76">
        <f>IF(Tabela16[[#This Row],[CICLO INSPECAO]]="Primeiro Ciclo",COUNTIF(Tabela16[[#This Row],[C-01]:[C-120]],"x"),0)</f>
        <v>0</v>
      </c>
      <c r="H98" s="76">
        <f>IF(Tabela16[[#This Row],[CICLO INSPECAO]]="Segundo Ciclo",COUNTIF(Tabela16[[#This Row],[C-01]:[C-120]],"x"),0)</f>
        <v>0</v>
      </c>
      <c r="I98" s="76">
        <f>IF(Tabela16[[#This Row],[CICLO INSPECAO]]="Terceiro Ciclo",COUNTIF(Tabela16[[#This Row],[C-01]:[C-120]],"x"),0)</f>
        <v>0</v>
      </c>
      <c r="J98" s="76">
        <f>IF(Tabela16[[#This Row],[CICLO INSPECAO]]="Quarto Ciclo",COUNTIF(Tabela16[[#This Row],[C-01]:[C-120]],"x"),0)</f>
        <v>0</v>
      </c>
      <c r="K98" s="76">
        <f>IF(Tabela16[[#This Row],[CICLO INSPECAO]]="Troca de Spindle",COUNTIF(Tabela16[[#This Row],[C-01]:[C-120]],"x"),0)</f>
        <v>0</v>
      </c>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row>
    <row r="99" spans="1:131" x14ac:dyDescent="0.3">
      <c r="A99" s="80">
        <v>45629</v>
      </c>
      <c r="B99" s="81" t="s">
        <v>86</v>
      </c>
      <c r="C99" s="81" t="s">
        <v>81</v>
      </c>
      <c r="D99" s="81" t="s">
        <v>213</v>
      </c>
      <c r="E99" s="81">
        <v>0</v>
      </c>
      <c r="F99" s="81" t="s">
        <v>71</v>
      </c>
      <c r="G99" s="81">
        <f>IF(Tabela16[[#This Row],[CICLO INSPECAO]]="Primeiro Ciclo",COUNTIF(Tabela16[[#This Row],[C-01]:[C-120]],"x"),0)</f>
        <v>0</v>
      </c>
      <c r="H99" s="81">
        <f>IF(Tabela16[[#This Row],[CICLO INSPECAO]]="Segundo Ciclo",COUNTIF(Tabela16[[#This Row],[C-01]:[C-120]],"x"),0)</f>
        <v>0</v>
      </c>
      <c r="I99" s="81">
        <f>IF(Tabela16[[#This Row],[CICLO INSPECAO]]="Terceiro Ciclo",COUNTIF(Tabela16[[#This Row],[C-01]:[C-120]],"x"),0)</f>
        <v>0</v>
      </c>
      <c r="J99" s="81">
        <f>IF(Tabela16[[#This Row],[CICLO INSPECAO]]="Quarto Ciclo",COUNTIF(Tabela16[[#This Row],[C-01]:[C-120]],"x"),0)</f>
        <v>0</v>
      </c>
      <c r="K99" s="81">
        <f>IF(Tabela16[[#This Row],[CICLO INSPECAO]]="Troca de Spindle",COUNTIF(Tabela16[[#This Row],[C-01]:[C-120]],"x"),0)</f>
        <v>0</v>
      </c>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c r="CY99" s="44"/>
      <c r="CZ99" s="44"/>
      <c r="DA99" s="44"/>
      <c r="DB99" s="44"/>
      <c r="DC99" s="44"/>
      <c r="DD99" s="44"/>
      <c r="DE99" s="44"/>
      <c r="DF99" s="44"/>
      <c r="DG99" s="44"/>
      <c r="DH99" s="44"/>
      <c r="DI99" s="44"/>
      <c r="DJ99" s="44"/>
      <c r="DK99" s="44"/>
      <c r="DL99" s="44"/>
      <c r="DM99" s="44"/>
      <c r="DN99" s="44"/>
      <c r="DO99" s="44"/>
      <c r="DP99" s="44"/>
      <c r="DQ99" s="44"/>
      <c r="DR99" s="44"/>
      <c r="DS99" s="44"/>
      <c r="DT99" s="44"/>
      <c r="DU99" s="44"/>
      <c r="DV99" s="44"/>
      <c r="DW99" s="44"/>
      <c r="DX99" s="44"/>
      <c r="DY99" s="44"/>
      <c r="DZ99" s="44"/>
      <c r="EA99" s="44"/>
    </row>
    <row r="100" spans="1:131" x14ac:dyDescent="0.3">
      <c r="A100" s="79">
        <v>45735</v>
      </c>
      <c r="B100" s="76" t="s">
        <v>86</v>
      </c>
      <c r="C100" s="76" t="s">
        <v>81</v>
      </c>
      <c r="D100" s="76" t="s">
        <v>213</v>
      </c>
      <c r="E100" s="76">
        <v>0</v>
      </c>
      <c r="F100" s="76" t="s">
        <v>72</v>
      </c>
      <c r="G100" s="76">
        <f>IF(Tabela16[[#This Row],[CICLO INSPECAO]]="Primeiro Ciclo",COUNTIF(Tabela16[[#This Row],[C-01]:[C-120]],"x"),0)</f>
        <v>0</v>
      </c>
      <c r="H100" s="76">
        <f>IF(Tabela16[[#This Row],[CICLO INSPECAO]]="Segundo Ciclo",COUNTIF(Tabela16[[#This Row],[C-01]:[C-120]],"x"),0)</f>
        <v>0</v>
      </c>
      <c r="I100" s="76">
        <f>IF(Tabela16[[#This Row],[CICLO INSPECAO]]="Terceiro Ciclo",COUNTIF(Tabela16[[#This Row],[C-01]:[C-120]],"x"),0)</f>
        <v>0</v>
      </c>
      <c r="J100" s="76">
        <f>IF(Tabela16[[#This Row],[CICLO INSPECAO]]="Quarto Ciclo",COUNTIF(Tabela16[[#This Row],[C-01]:[C-120]],"x"),0)</f>
        <v>0</v>
      </c>
      <c r="K100" s="76">
        <f>IF(Tabela16[[#This Row],[CICLO INSPECAO]]="Troca de Spindle",COUNTIF(Tabela16[[#This Row],[C-01]:[C-120]],"x"),0)</f>
        <v>0</v>
      </c>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row>
    <row r="101" spans="1:131" x14ac:dyDescent="0.3">
      <c r="A101" s="79">
        <v>45436</v>
      </c>
      <c r="B101" s="76" t="s">
        <v>86</v>
      </c>
      <c r="C101" s="76" t="s">
        <v>16</v>
      </c>
      <c r="D101" s="76" t="s">
        <v>184</v>
      </c>
      <c r="E101" s="76">
        <v>0</v>
      </c>
      <c r="F101" s="76" t="s">
        <v>17</v>
      </c>
      <c r="G101" s="76">
        <f>IF(Tabela16[[#This Row],[CICLO INSPECAO]]="Primeiro Ciclo",COUNTIF(Tabela16[[#This Row],[C-01]:[C-120]],"x"),0)</f>
        <v>0</v>
      </c>
      <c r="H101" s="76">
        <f>IF(Tabela16[[#This Row],[CICLO INSPECAO]]="Segundo Ciclo",COUNTIF(Tabela16[[#This Row],[C-01]:[C-120]],"x"),0)</f>
        <v>0</v>
      </c>
      <c r="I101" s="76">
        <f>IF(Tabela16[[#This Row],[CICLO INSPECAO]]="Terceiro Ciclo",COUNTIF(Tabela16[[#This Row],[C-01]:[C-120]],"x"),0)</f>
        <v>0</v>
      </c>
      <c r="J101" s="76">
        <f>IF(Tabela16[[#This Row],[CICLO INSPECAO]]="Quarto Ciclo",COUNTIF(Tabela16[[#This Row],[C-01]:[C-120]],"x"),0)</f>
        <v>0</v>
      </c>
      <c r="K101" s="76">
        <f>IF(Tabela16[[#This Row],[CICLO INSPECAO]]="Troca de Spindle",COUNTIF(Tabela16[[#This Row],[C-01]:[C-120]],"x"),0)</f>
        <v>0</v>
      </c>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row>
    <row r="102" spans="1:131" x14ac:dyDescent="0.3">
      <c r="A102" s="79">
        <v>45617</v>
      </c>
      <c r="B102" s="76" t="s">
        <v>86</v>
      </c>
      <c r="C102" s="76" t="s">
        <v>16</v>
      </c>
      <c r="D102" s="76" t="s">
        <v>184</v>
      </c>
      <c r="E102" s="76">
        <v>0</v>
      </c>
      <c r="F102" s="76" t="s">
        <v>71</v>
      </c>
      <c r="G102" s="76">
        <f>IF(Tabela16[[#This Row],[CICLO INSPECAO]]="Primeiro Ciclo",COUNTIF(Tabela16[[#This Row],[C-01]:[C-120]],"x"),0)</f>
        <v>0</v>
      </c>
      <c r="H102" s="76">
        <f>IF(Tabela16[[#This Row],[CICLO INSPECAO]]="Segundo Ciclo",COUNTIF(Tabela16[[#This Row],[C-01]:[C-120]],"x"),0)</f>
        <v>0</v>
      </c>
      <c r="I102" s="76">
        <f>IF(Tabela16[[#This Row],[CICLO INSPECAO]]="Terceiro Ciclo",COUNTIF(Tabela16[[#This Row],[C-01]:[C-120]],"x"),0)</f>
        <v>0</v>
      </c>
      <c r="J102" s="76">
        <f>IF(Tabela16[[#This Row],[CICLO INSPECAO]]="Quarto Ciclo",COUNTIF(Tabela16[[#This Row],[C-01]:[C-120]],"x"),0)</f>
        <v>0</v>
      </c>
      <c r="K102" s="76">
        <f>IF(Tabela16[[#This Row],[CICLO INSPECAO]]="Troca de Spindle",COUNTIF(Tabela16[[#This Row],[C-01]:[C-120]],"x"),0)</f>
        <v>0</v>
      </c>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row>
    <row r="103" spans="1:131" x14ac:dyDescent="0.3">
      <c r="A103" s="79">
        <v>45770</v>
      </c>
      <c r="B103" s="76" t="s">
        <v>86</v>
      </c>
      <c r="C103" s="76" t="s">
        <v>16</v>
      </c>
      <c r="D103" s="76" t="s">
        <v>184</v>
      </c>
      <c r="E103" s="76">
        <v>120</v>
      </c>
      <c r="F103" s="76" t="s">
        <v>72</v>
      </c>
      <c r="G103" s="76">
        <f>IF(Tabela16[[#This Row],[CICLO INSPECAO]]="Primeiro Ciclo",COUNTIF(Tabela16[[#This Row],[C-01]:[C-120]],"x"),0)</f>
        <v>0</v>
      </c>
      <c r="H103" s="76">
        <f>IF(Tabela16[[#This Row],[CICLO INSPECAO]]="Segundo Ciclo",COUNTIF(Tabela16[[#This Row],[C-01]:[C-120]],"x"),0)</f>
        <v>0</v>
      </c>
      <c r="I103" s="76">
        <f>IF(Tabela16[[#This Row],[CICLO INSPECAO]]="Terceiro Ciclo",COUNTIF(Tabela16[[#This Row],[C-01]:[C-120]],"x"),0)</f>
        <v>12</v>
      </c>
      <c r="J103" s="76">
        <f>IF(Tabela16[[#This Row],[CICLO INSPECAO]]="Quarto Ciclo",COUNTIF(Tabela16[[#This Row],[C-01]:[C-120]],"x"),0)</f>
        <v>0</v>
      </c>
      <c r="K103" s="76">
        <f>IF(Tabela16[[#This Row],[CICLO INSPECAO]]="Troca de Spindle",COUNTIF(Tabela16[[#This Row],[C-01]:[C-120]],"x"),0)</f>
        <v>0</v>
      </c>
      <c r="L103" s="37"/>
      <c r="M103" s="37"/>
      <c r="N103" s="37"/>
      <c r="O103" s="37"/>
      <c r="P103" s="37"/>
      <c r="Q103" s="37"/>
      <c r="R103" s="37"/>
      <c r="S103" s="37" t="s">
        <v>351</v>
      </c>
      <c r="T103" s="37" t="s">
        <v>351</v>
      </c>
      <c r="U103" s="37" t="s">
        <v>351</v>
      </c>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t="s">
        <v>351</v>
      </c>
      <c r="BR103" s="37"/>
      <c r="BS103" s="37"/>
      <c r="BT103" s="37"/>
      <c r="BU103" s="37" t="s">
        <v>351</v>
      </c>
      <c r="BV103" s="37" t="s">
        <v>351</v>
      </c>
      <c r="BW103" s="37"/>
      <c r="BX103" s="37" t="s">
        <v>351</v>
      </c>
      <c r="BY103" s="37"/>
      <c r="BZ103" s="37"/>
      <c r="CA103" s="37"/>
      <c r="CB103" s="37" t="s">
        <v>351</v>
      </c>
      <c r="CC103" s="37"/>
      <c r="CD103" s="37"/>
      <c r="CE103" s="37"/>
      <c r="CF103" s="37"/>
      <c r="CG103" s="37"/>
      <c r="CH103" s="37"/>
      <c r="CI103" s="37"/>
      <c r="CJ103" s="37"/>
      <c r="CK103" s="37"/>
      <c r="CL103" s="37"/>
      <c r="CM103" s="37"/>
      <c r="CN103" s="37"/>
      <c r="CO103" s="37" t="s">
        <v>351</v>
      </c>
      <c r="CP103" s="37" t="s">
        <v>351</v>
      </c>
      <c r="CQ103" s="37"/>
      <c r="CR103" s="37"/>
      <c r="CS103" s="37"/>
      <c r="CT103" s="37"/>
      <c r="CU103" s="37"/>
      <c r="CV103" s="37"/>
      <c r="CW103" s="37"/>
      <c r="CX103" s="37" t="s">
        <v>351</v>
      </c>
      <c r="CY103" s="37"/>
      <c r="CZ103" s="37"/>
      <c r="DA103" s="37"/>
      <c r="DB103" s="37"/>
      <c r="DC103" s="37"/>
      <c r="DD103" s="37" t="s">
        <v>351</v>
      </c>
      <c r="DE103" s="37"/>
      <c r="DF103" s="37"/>
      <c r="DG103" s="37"/>
      <c r="DH103" s="37"/>
      <c r="DI103" s="37"/>
      <c r="DJ103" s="37"/>
      <c r="DK103" s="37"/>
      <c r="DL103" s="37"/>
      <c r="DM103" s="37"/>
      <c r="DN103" s="37"/>
      <c r="DO103" s="37"/>
      <c r="DP103" s="37"/>
      <c r="DQ103" s="37"/>
      <c r="DR103" s="37"/>
      <c r="DS103" s="37"/>
      <c r="DT103" s="37"/>
      <c r="DU103" s="37"/>
      <c r="DV103" s="37"/>
      <c r="DW103" s="37"/>
      <c r="DX103" s="37"/>
      <c r="DY103" s="37"/>
      <c r="DZ103" s="37"/>
      <c r="EA103" s="37"/>
    </row>
    <row r="104" spans="1:131" x14ac:dyDescent="0.3">
      <c r="A104" s="79">
        <v>45455</v>
      </c>
      <c r="B104" s="76" t="s">
        <v>86</v>
      </c>
      <c r="C104" s="76" t="s">
        <v>81</v>
      </c>
      <c r="D104" s="76" t="s">
        <v>214</v>
      </c>
      <c r="E104" s="76">
        <v>0</v>
      </c>
      <c r="F104" s="76" t="s">
        <v>17</v>
      </c>
      <c r="G104" s="76">
        <f>IF(Tabela16[[#This Row],[CICLO INSPECAO]]="Primeiro Ciclo",COUNTIF(Tabela16[[#This Row],[C-01]:[C-120]],"x"),0)</f>
        <v>0</v>
      </c>
      <c r="H104" s="76">
        <f>IF(Tabela16[[#This Row],[CICLO INSPECAO]]="Segundo Ciclo",COUNTIF(Tabela16[[#This Row],[C-01]:[C-120]],"x"),0)</f>
        <v>0</v>
      </c>
      <c r="I104" s="76">
        <f>IF(Tabela16[[#This Row],[CICLO INSPECAO]]="Terceiro Ciclo",COUNTIF(Tabela16[[#This Row],[C-01]:[C-120]],"x"),0)</f>
        <v>0</v>
      </c>
      <c r="J104" s="76">
        <f>IF(Tabela16[[#This Row],[CICLO INSPECAO]]="Quarto Ciclo",COUNTIF(Tabela16[[#This Row],[C-01]:[C-120]],"x"),0)</f>
        <v>0</v>
      </c>
      <c r="K104" s="76">
        <f>IF(Tabela16[[#This Row],[CICLO INSPECAO]]="Troca de Spindle",COUNTIF(Tabela16[[#This Row],[C-01]:[C-120]],"x"),0)</f>
        <v>0</v>
      </c>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row>
    <row r="105" spans="1:131" x14ac:dyDescent="0.3">
      <c r="A105" s="80">
        <v>45631</v>
      </c>
      <c r="B105" s="81" t="s">
        <v>86</v>
      </c>
      <c r="C105" s="81" t="s">
        <v>81</v>
      </c>
      <c r="D105" s="81" t="s">
        <v>214</v>
      </c>
      <c r="E105" s="81">
        <v>0</v>
      </c>
      <c r="F105" s="81" t="s">
        <v>71</v>
      </c>
      <c r="G105" s="81">
        <f>IF(Tabela16[[#This Row],[CICLO INSPECAO]]="Primeiro Ciclo",COUNTIF(Tabela16[[#This Row],[C-01]:[C-120]],"x"),0)</f>
        <v>0</v>
      </c>
      <c r="H105" s="81">
        <f>IF(Tabela16[[#This Row],[CICLO INSPECAO]]="Segundo Ciclo",COUNTIF(Tabela16[[#This Row],[C-01]:[C-120]],"x"),0)</f>
        <v>0</v>
      </c>
      <c r="I105" s="81">
        <f>IF(Tabela16[[#This Row],[CICLO INSPECAO]]="Terceiro Ciclo",COUNTIF(Tabela16[[#This Row],[C-01]:[C-120]],"x"),0)</f>
        <v>0</v>
      </c>
      <c r="J105" s="81">
        <f>IF(Tabela16[[#This Row],[CICLO INSPECAO]]="Quarto Ciclo",COUNTIF(Tabela16[[#This Row],[C-01]:[C-120]],"x"),0)</f>
        <v>0</v>
      </c>
      <c r="K105" s="81">
        <f>IF(Tabela16[[#This Row],[CICLO INSPECAO]]="Troca de Spindle",COUNTIF(Tabela16[[#This Row],[C-01]:[C-120]],"x"),0)</f>
        <v>0</v>
      </c>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c r="CY105" s="44"/>
      <c r="CZ105" s="44"/>
      <c r="DA105" s="44"/>
      <c r="DB105" s="44"/>
      <c r="DC105" s="44"/>
      <c r="DD105" s="44"/>
      <c r="DE105" s="44"/>
      <c r="DF105" s="44"/>
      <c r="DG105" s="44"/>
      <c r="DH105" s="44"/>
      <c r="DI105" s="44"/>
      <c r="DJ105" s="44"/>
      <c r="DK105" s="44"/>
      <c r="DL105" s="44"/>
      <c r="DM105" s="44"/>
      <c r="DN105" s="44"/>
      <c r="DO105" s="44"/>
      <c r="DP105" s="44"/>
      <c r="DQ105" s="44"/>
      <c r="DR105" s="44"/>
      <c r="DS105" s="44"/>
      <c r="DT105" s="44"/>
      <c r="DU105" s="44"/>
      <c r="DV105" s="44"/>
      <c r="DW105" s="44"/>
      <c r="DX105" s="44"/>
      <c r="DY105" s="44"/>
      <c r="DZ105" s="44"/>
      <c r="EA105" s="44"/>
    </row>
    <row r="106" spans="1:131" x14ac:dyDescent="0.3">
      <c r="A106" s="79">
        <v>45432</v>
      </c>
      <c r="B106" s="76" t="s">
        <v>86</v>
      </c>
      <c r="C106" s="76" t="s">
        <v>16</v>
      </c>
      <c r="D106" s="76" t="s">
        <v>185</v>
      </c>
      <c r="E106" s="76">
        <v>0</v>
      </c>
      <c r="F106" s="76" t="s">
        <v>17</v>
      </c>
      <c r="G106" s="76">
        <f>IF(Tabela16[[#This Row],[CICLO INSPECAO]]="Primeiro Ciclo",COUNTIF(Tabela16[[#This Row],[C-01]:[C-120]],"x"),0)</f>
        <v>0</v>
      </c>
      <c r="H106" s="76">
        <f>IF(Tabela16[[#This Row],[CICLO INSPECAO]]="Segundo Ciclo",COUNTIF(Tabela16[[#This Row],[C-01]:[C-120]],"x"),0)</f>
        <v>0</v>
      </c>
      <c r="I106" s="76">
        <f>IF(Tabela16[[#This Row],[CICLO INSPECAO]]="Terceiro Ciclo",COUNTIF(Tabela16[[#This Row],[C-01]:[C-120]],"x"),0)</f>
        <v>0</v>
      </c>
      <c r="J106" s="76">
        <f>IF(Tabela16[[#This Row],[CICLO INSPECAO]]="Quarto Ciclo",COUNTIF(Tabela16[[#This Row],[C-01]:[C-120]],"x"),0)</f>
        <v>0</v>
      </c>
      <c r="K106" s="76">
        <f>IF(Tabela16[[#This Row],[CICLO INSPECAO]]="Troca de Spindle",COUNTIF(Tabela16[[#This Row],[C-01]:[C-120]],"x"),0)</f>
        <v>0</v>
      </c>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row>
    <row r="107" spans="1:131" x14ac:dyDescent="0.3">
      <c r="A107" s="79">
        <v>45632</v>
      </c>
      <c r="B107" s="76" t="s">
        <v>86</v>
      </c>
      <c r="C107" s="76" t="s">
        <v>16</v>
      </c>
      <c r="D107" s="76" t="s">
        <v>185</v>
      </c>
      <c r="E107" s="76">
        <v>0</v>
      </c>
      <c r="F107" s="76" t="s">
        <v>71</v>
      </c>
      <c r="G107" s="76">
        <f>IF(Tabela16[[#This Row],[CICLO INSPECAO]]="Primeiro Ciclo",COUNTIF(Tabela16[[#This Row],[C-01]:[C-120]],"x"),0)</f>
        <v>0</v>
      </c>
      <c r="H107" s="76">
        <f>IF(Tabela16[[#This Row],[CICLO INSPECAO]]="Segundo Ciclo",COUNTIF(Tabela16[[#This Row],[C-01]:[C-120]],"x"),0)</f>
        <v>0</v>
      </c>
      <c r="I107" s="76">
        <f>IF(Tabela16[[#This Row],[CICLO INSPECAO]]="Terceiro Ciclo",COUNTIF(Tabela16[[#This Row],[C-01]:[C-120]],"x"),0)</f>
        <v>0</v>
      </c>
      <c r="J107" s="76">
        <f>IF(Tabela16[[#This Row],[CICLO INSPECAO]]="Quarto Ciclo",COUNTIF(Tabela16[[#This Row],[C-01]:[C-120]],"x"),0)</f>
        <v>0</v>
      </c>
      <c r="K107" s="76">
        <f>IF(Tabela16[[#This Row],[CICLO INSPECAO]]="Troca de Spindle",COUNTIF(Tabela16[[#This Row],[C-01]:[C-120]],"x"),0)</f>
        <v>0</v>
      </c>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row>
    <row r="108" spans="1:131" x14ac:dyDescent="0.3">
      <c r="A108" s="79">
        <v>45751</v>
      </c>
      <c r="B108" s="76" t="s">
        <v>86</v>
      </c>
      <c r="C108" s="76" t="s">
        <v>16</v>
      </c>
      <c r="D108" s="76" t="s">
        <v>185</v>
      </c>
      <c r="E108" s="76">
        <v>0</v>
      </c>
      <c r="F108" s="76" t="s">
        <v>72</v>
      </c>
      <c r="G108" s="76">
        <f>IF(Tabela16[[#This Row],[CICLO INSPECAO]]="Primeiro Ciclo",COUNTIF(Tabela16[[#This Row],[C-01]:[C-120]],"x"),0)</f>
        <v>0</v>
      </c>
      <c r="H108" s="76">
        <f>IF(Tabela16[[#This Row],[CICLO INSPECAO]]="Segundo Ciclo",COUNTIF(Tabela16[[#This Row],[C-01]:[C-120]],"x"),0)</f>
        <v>0</v>
      </c>
      <c r="I108" s="76">
        <f>IF(Tabela16[[#This Row],[CICLO INSPECAO]]="Terceiro Ciclo",COUNTIF(Tabela16[[#This Row],[C-01]:[C-120]],"x"),0)</f>
        <v>0</v>
      </c>
      <c r="J108" s="76">
        <f>IF(Tabela16[[#This Row],[CICLO INSPECAO]]="Quarto Ciclo",COUNTIF(Tabela16[[#This Row],[C-01]:[C-120]],"x"),0)</f>
        <v>0</v>
      </c>
      <c r="K108" s="76">
        <f>IF(Tabela16[[#This Row],[CICLO INSPECAO]]="Troca de Spindle",COUNTIF(Tabela16[[#This Row],[C-01]:[C-120]],"x"),0)</f>
        <v>0</v>
      </c>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row>
    <row r="109" spans="1:131" x14ac:dyDescent="0.3">
      <c r="A109" s="79">
        <v>45937</v>
      </c>
      <c r="B109" s="76"/>
      <c r="C109" s="76" t="s">
        <v>16</v>
      </c>
      <c r="D109" s="76" t="s">
        <v>185</v>
      </c>
      <c r="E109" s="76">
        <v>3</v>
      </c>
      <c r="F109" s="76" t="s">
        <v>85</v>
      </c>
      <c r="G109" s="76">
        <f>IF(Tabela16[[#This Row],[CICLO INSPECAO]]="Primeiro Ciclo",COUNTIF(Tabela16[[#This Row],[C-01]:[C-120]],"x"),0)</f>
        <v>0</v>
      </c>
      <c r="H109" s="76">
        <f>IF(Tabela16[[#This Row],[CICLO INSPECAO]]="Segundo Ciclo",COUNTIF(Tabela16[[#This Row],[C-01]:[C-120]],"x"),0)</f>
        <v>0</v>
      </c>
      <c r="I109" s="76">
        <f>IF(Tabela16[[#This Row],[CICLO INSPECAO]]="Terceiro Ciclo",COUNTIF(Tabela16[[#This Row],[C-01]:[C-120]],"x"),0)</f>
        <v>0</v>
      </c>
      <c r="J109" s="76">
        <f>IF(Tabela16[[#This Row],[CICLO INSPECAO]]="Quarto Ciclo",COUNTIF(Tabela16[[#This Row],[C-01]:[C-120]],"x"),0)</f>
        <v>0</v>
      </c>
      <c r="K109" s="76">
        <f>IF(Tabela16[[#This Row],[CICLO INSPECAO]]="Troca de Spindle",COUNTIF(Tabela16[[#This Row],[C-01]:[C-120]],"x"),0)</f>
        <v>3</v>
      </c>
      <c r="L109" s="7"/>
      <c r="M109" s="7" t="s">
        <v>351</v>
      </c>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t="s">
        <v>351</v>
      </c>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t="s">
        <v>351</v>
      </c>
      <c r="DS109" s="7"/>
      <c r="DT109" s="7"/>
      <c r="DU109" s="7"/>
      <c r="DV109" s="7"/>
      <c r="DW109" s="7"/>
      <c r="DX109" s="7"/>
      <c r="DY109" s="7"/>
      <c r="DZ109" s="7"/>
      <c r="EA109" s="7"/>
    </row>
    <row r="110" spans="1:131" x14ac:dyDescent="0.3">
      <c r="A110" s="79">
        <v>45463</v>
      </c>
      <c r="B110" s="76" t="s">
        <v>86</v>
      </c>
      <c r="C110" s="76" t="s">
        <v>81</v>
      </c>
      <c r="D110" s="76" t="s">
        <v>215</v>
      </c>
      <c r="E110" s="76">
        <v>0</v>
      </c>
      <c r="F110" s="76" t="s">
        <v>17</v>
      </c>
      <c r="G110" s="76">
        <f>IF(Tabela16[[#This Row],[CICLO INSPECAO]]="Primeiro Ciclo",COUNTIF(Tabela16[[#This Row],[C-01]:[C-120]],"x"),0)</f>
        <v>0</v>
      </c>
      <c r="H110" s="76">
        <f>IF(Tabela16[[#This Row],[CICLO INSPECAO]]="Segundo Ciclo",COUNTIF(Tabela16[[#This Row],[C-01]:[C-120]],"x"),0)</f>
        <v>0</v>
      </c>
      <c r="I110" s="76">
        <f>IF(Tabela16[[#This Row],[CICLO INSPECAO]]="Terceiro Ciclo",COUNTIF(Tabela16[[#This Row],[C-01]:[C-120]],"x"),0)</f>
        <v>0</v>
      </c>
      <c r="J110" s="76">
        <f>IF(Tabela16[[#This Row],[CICLO INSPECAO]]="Quarto Ciclo",COUNTIF(Tabela16[[#This Row],[C-01]:[C-120]],"x"),0)</f>
        <v>0</v>
      </c>
      <c r="K110" s="76">
        <f>IF(Tabela16[[#This Row],[CICLO INSPECAO]]="Troca de Spindle",COUNTIF(Tabela16[[#This Row],[C-01]:[C-120]],"x"),0)</f>
        <v>0</v>
      </c>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row>
    <row r="111" spans="1:131" x14ac:dyDescent="0.3">
      <c r="A111" s="80">
        <v>45639</v>
      </c>
      <c r="B111" s="81" t="s">
        <v>86</v>
      </c>
      <c r="C111" s="81" t="s">
        <v>81</v>
      </c>
      <c r="D111" s="81" t="s">
        <v>215</v>
      </c>
      <c r="E111" s="81">
        <v>0</v>
      </c>
      <c r="F111" s="81" t="s">
        <v>71</v>
      </c>
      <c r="G111" s="81">
        <f>IF(Tabela16[[#This Row],[CICLO INSPECAO]]="Primeiro Ciclo",COUNTIF(Tabela16[[#This Row],[C-01]:[C-120]],"x"),0)</f>
        <v>0</v>
      </c>
      <c r="H111" s="81">
        <f>IF(Tabela16[[#This Row],[CICLO INSPECAO]]="Segundo Ciclo",COUNTIF(Tabela16[[#This Row],[C-01]:[C-120]],"x"),0)</f>
        <v>0</v>
      </c>
      <c r="I111" s="81">
        <f>IF(Tabela16[[#This Row],[CICLO INSPECAO]]="Terceiro Ciclo",COUNTIF(Tabela16[[#This Row],[C-01]:[C-120]],"x"),0)</f>
        <v>0</v>
      </c>
      <c r="J111" s="81">
        <f>IF(Tabela16[[#This Row],[CICLO INSPECAO]]="Quarto Ciclo",COUNTIF(Tabela16[[#This Row],[C-01]:[C-120]],"x"),0)</f>
        <v>0</v>
      </c>
      <c r="K111" s="81">
        <f>IF(Tabela16[[#This Row],[CICLO INSPECAO]]="Troca de Spindle",COUNTIF(Tabela16[[#This Row],[C-01]:[C-120]],"x"),0)</f>
        <v>0</v>
      </c>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c r="CY111" s="44"/>
      <c r="CZ111" s="44"/>
      <c r="DA111" s="44"/>
      <c r="DB111" s="44"/>
      <c r="DC111" s="44"/>
      <c r="DD111" s="44"/>
      <c r="DE111" s="44"/>
      <c r="DF111" s="44"/>
      <c r="DG111" s="44"/>
      <c r="DH111" s="44"/>
      <c r="DI111" s="44"/>
      <c r="DJ111" s="44"/>
      <c r="DK111" s="44"/>
      <c r="DL111" s="44"/>
      <c r="DM111" s="44"/>
      <c r="DN111" s="44"/>
      <c r="DO111" s="44"/>
      <c r="DP111" s="44"/>
      <c r="DQ111" s="44"/>
      <c r="DR111" s="44"/>
      <c r="DS111" s="44"/>
      <c r="DT111" s="44"/>
      <c r="DU111" s="44"/>
      <c r="DV111" s="44"/>
      <c r="DW111" s="44"/>
      <c r="DX111" s="44"/>
      <c r="DY111" s="44"/>
      <c r="DZ111" s="44"/>
      <c r="EA111" s="44"/>
    </row>
    <row r="112" spans="1:131" x14ac:dyDescent="0.3">
      <c r="A112" s="79">
        <v>45435</v>
      </c>
      <c r="B112" s="76" t="s">
        <v>86</v>
      </c>
      <c r="C112" s="76" t="s">
        <v>16</v>
      </c>
      <c r="D112" s="76" t="s">
        <v>186</v>
      </c>
      <c r="E112" s="76">
        <v>0</v>
      </c>
      <c r="F112" s="76" t="s">
        <v>17</v>
      </c>
      <c r="G112" s="76">
        <f>IF(Tabela16[[#This Row],[CICLO INSPECAO]]="Primeiro Ciclo",COUNTIF(Tabela16[[#This Row],[C-01]:[C-120]],"x"),0)</f>
        <v>0</v>
      </c>
      <c r="H112" s="76">
        <f>IF(Tabela16[[#This Row],[CICLO INSPECAO]]="Segundo Ciclo",COUNTIF(Tabela16[[#This Row],[C-01]:[C-120]],"x"),0)</f>
        <v>0</v>
      </c>
      <c r="I112" s="76">
        <f>IF(Tabela16[[#This Row],[CICLO INSPECAO]]="Terceiro Ciclo",COUNTIF(Tabela16[[#This Row],[C-01]:[C-120]],"x"),0)</f>
        <v>0</v>
      </c>
      <c r="J112" s="76">
        <f>IF(Tabela16[[#This Row],[CICLO INSPECAO]]="Quarto Ciclo",COUNTIF(Tabela16[[#This Row],[C-01]:[C-120]],"x"),0)</f>
        <v>0</v>
      </c>
      <c r="K112" s="76">
        <f>IF(Tabela16[[#This Row],[CICLO INSPECAO]]="Troca de Spindle",COUNTIF(Tabela16[[#This Row],[C-01]:[C-120]],"x"),0)</f>
        <v>0</v>
      </c>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row>
    <row r="113" spans="1:131" x14ac:dyDescent="0.3">
      <c r="A113" s="80">
        <v>45642</v>
      </c>
      <c r="B113" s="81" t="s">
        <v>86</v>
      </c>
      <c r="C113" s="81" t="s">
        <v>16</v>
      </c>
      <c r="D113" s="81" t="s">
        <v>186</v>
      </c>
      <c r="E113" s="81">
        <v>0</v>
      </c>
      <c r="F113" s="81" t="s">
        <v>71</v>
      </c>
      <c r="G113" s="81">
        <f>IF(Tabela16[[#This Row],[CICLO INSPECAO]]="Primeiro Ciclo",COUNTIF(Tabela16[[#This Row],[C-01]:[C-120]],"x"),0)</f>
        <v>0</v>
      </c>
      <c r="H113" s="81">
        <f>IF(Tabela16[[#This Row],[CICLO INSPECAO]]="Segundo Ciclo",COUNTIF(Tabela16[[#This Row],[C-01]:[C-120]],"x"),0)</f>
        <v>0</v>
      </c>
      <c r="I113" s="81">
        <f>IF(Tabela16[[#This Row],[CICLO INSPECAO]]="Terceiro Ciclo",COUNTIF(Tabela16[[#This Row],[C-01]:[C-120]],"x"),0)</f>
        <v>0</v>
      </c>
      <c r="J113" s="81">
        <f>IF(Tabela16[[#This Row],[CICLO INSPECAO]]="Quarto Ciclo",COUNTIF(Tabela16[[#This Row],[C-01]:[C-120]],"x"),0)</f>
        <v>0</v>
      </c>
      <c r="K113" s="81">
        <f>IF(Tabela16[[#This Row],[CICLO INSPECAO]]="Troca de Spindle",COUNTIF(Tabela16[[#This Row],[C-01]:[C-120]],"x"),0)</f>
        <v>0</v>
      </c>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c r="CY113" s="44"/>
      <c r="CZ113" s="44"/>
      <c r="DA113" s="44"/>
      <c r="DB113" s="44"/>
      <c r="DC113" s="44"/>
      <c r="DD113" s="44"/>
      <c r="DE113" s="44"/>
      <c r="DF113" s="44"/>
      <c r="DG113" s="44"/>
      <c r="DH113" s="44"/>
      <c r="DI113" s="44"/>
      <c r="DJ113" s="44"/>
      <c r="DK113" s="44"/>
      <c r="DL113" s="44"/>
      <c r="DM113" s="44"/>
      <c r="DN113" s="44"/>
      <c r="DO113" s="44"/>
      <c r="DP113" s="44"/>
      <c r="DQ113" s="44"/>
      <c r="DR113" s="44"/>
      <c r="DS113" s="44"/>
      <c r="DT113" s="44"/>
      <c r="DU113" s="44"/>
      <c r="DV113" s="44"/>
      <c r="DW113" s="44"/>
      <c r="DX113" s="44"/>
      <c r="DY113" s="44"/>
      <c r="DZ113" s="44"/>
      <c r="EA113" s="44"/>
    </row>
    <row r="114" spans="1:131" x14ac:dyDescent="0.3">
      <c r="A114" s="79">
        <v>45769</v>
      </c>
      <c r="B114" s="76" t="s">
        <v>86</v>
      </c>
      <c r="C114" s="76" t="s">
        <v>16</v>
      </c>
      <c r="D114" s="76" t="s">
        <v>186</v>
      </c>
      <c r="E114" s="76">
        <v>0</v>
      </c>
      <c r="F114" s="76" t="s">
        <v>72</v>
      </c>
      <c r="G114" s="76">
        <f>IF(Tabela16[[#This Row],[CICLO INSPECAO]]="Primeiro Ciclo",COUNTIF(Tabela16[[#This Row],[C-01]:[C-120]],"x"),0)</f>
        <v>0</v>
      </c>
      <c r="H114" s="76">
        <f>IF(Tabela16[[#This Row],[CICLO INSPECAO]]="Segundo Ciclo",COUNTIF(Tabela16[[#This Row],[C-01]:[C-120]],"x"),0)</f>
        <v>0</v>
      </c>
      <c r="I114" s="76">
        <f>IF(Tabela16[[#This Row],[CICLO INSPECAO]]="Terceiro Ciclo",COUNTIF(Tabela16[[#This Row],[C-01]:[C-120]],"x"),0)</f>
        <v>0</v>
      </c>
      <c r="J114" s="76">
        <f>IF(Tabela16[[#This Row],[CICLO INSPECAO]]="Quarto Ciclo",COUNTIF(Tabela16[[#This Row],[C-01]:[C-120]],"x"),0)</f>
        <v>0</v>
      </c>
      <c r="K114" s="76">
        <f>IF(Tabela16[[#This Row],[CICLO INSPECAO]]="Troca de Spindle",COUNTIF(Tabela16[[#This Row],[C-01]:[C-120]],"x"),0)</f>
        <v>0</v>
      </c>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row>
    <row r="115" spans="1:131" x14ac:dyDescent="0.3">
      <c r="A115" s="79">
        <v>45454</v>
      </c>
      <c r="B115" s="76">
        <v>67656</v>
      </c>
      <c r="C115" s="76" t="s">
        <v>16</v>
      </c>
      <c r="D115" s="76" t="s">
        <v>187</v>
      </c>
      <c r="E115" s="76">
        <v>20</v>
      </c>
      <c r="F115" s="76" t="s">
        <v>17</v>
      </c>
      <c r="G115" s="76">
        <f>IF(Tabela16[[#This Row],[CICLO INSPECAO]]="Primeiro Ciclo",COUNTIF(Tabela16[[#This Row],[C-01]:[C-120]],"x"),0)</f>
        <v>2</v>
      </c>
      <c r="H115" s="76">
        <f>IF(Tabela16[[#This Row],[CICLO INSPECAO]]="Segundo Ciclo",COUNTIF(Tabela16[[#This Row],[C-01]:[C-120]],"x"),0)</f>
        <v>0</v>
      </c>
      <c r="I115" s="76">
        <f>IF(Tabela16[[#This Row],[CICLO INSPECAO]]="Terceiro Ciclo",COUNTIF(Tabela16[[#This Row],[C-01]:[C-120]],"x"),0)</f>
        <v>0</v>
      </c>
      <c r="J115" s="76">
        <f>IF(Tabela16[[#This Row],[CICLO INSPECAO]]="Quarto Ciclo",COUNTIF(Tabela16[[#This Row],[C-01]:[C-120]],"x"),0)</f>
        <v>0</v>
      </c>
      <c r="K115" s="76">
        <f>IF(Tabela16[[#This Row],[CICLO INSPECAO]]="Troca de Spindle",COUNTIF(Tabela16[[#This Row],[C-01]:[C-120]],"x"),0)</f>
        <v>0</v>
      </c>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t="s">
        <v>351</v>
      </c>
      <c r="DK115" s="7" t="s">
        <v>351</v>
      </c>
      <c r="DL115" s="7"/>
      <c r="DM115" s="7"/>
      <c r="DN115" s="7"/>
      <c r="DO115" s="7"/>
      <c r="DP115" s="7"/>
      <c r="DQ115" s="7"/>
      <c r="DR115" s="7"/>
      <c r="DS115" s="7"/>
      <c r="DT115" s="7"/>
      <c r="DU115" s="7"/>
      <c r="DV115" s="7"/>
      <c r="DW115" s="7"/>
      <c r="DX115" s="7"/>
      <c r="DY115" s="7"/>
      <c r="DZ115" s="7"/>
      <c r="EA115" s="7"/>
    </row>
    <row r="116" spans="1:131" x14ac:dyDescent="0.3">
      <c r="A116" s="79">
        <v>45622</v>
      </c>
      <c r="B116" s="76">
        <v>75616</v>
      </c>
      <c r="C116" s="76" t="s">
        <v>16</v>
      </c>
      <c r="D116" s="76" t="s">
        <v>187</v>
      </c>
      <c r="E116" s="76">
        <v>3</v>
      </c>
      <c r="F116" s="76" t="s">
        <v>85</v>
      </c>
      <c r="G116" s="76">
        <f>IF(Tabela16[[#This Row],[CICLO INSPECAO]]="Primeiro Ciclo",COUNTIF(Tabela16[[#This Row],[C-01]:[C-120]],"x"),0)</f>
        <v>0</v>
      </c>
      <c r="H116" s="76">
        <f>IF(Tabela16[[#This Row],[CICLO INSPECAO]]="Segundo Ciclo",COUNTIF(Tabela16[[#This Row],[C-01]:[C-120]],"x"),0)</f>
        <v>0</v>
      </c>
      <c r="I116" s="76">
        <f>IF(Tabela16[[#This Row],[CICLO INSPECAO]]="Terceiro Ciclo",COUNTIF(Tabela16[[#This Row],[C-01]:[C-120]],"x"),0)</f>
        <v>0</v>
      </c>
      <c r="J116" s="76">
        <f>IF(Tabela16[[#This Row],[CICLO INSPECAO]]="Quarto Ciclo",COUNTIF(Tabela16[[#This Row],[C-01]:[C-120]],"x"),0)</f>
        <v>0</v>
      </c>
      <c r="K116" s="76">
        <f>IF(Tabela16[[#This Row],[CICLO INSPECAO]]="Troca de Spindle",COUNTIF(Tabela16[[#This Row],[C-01]:[C-120]],"x"),0)</f>
        <v>0</v>
      </c>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row>
    <row r="117" spans="1:131" x14ac:dyDescent="0.3">
      <c r="A117" s="79">
        <v>45637</v>
      </c>
      <c r="B117" s="76" t="s">
        <v>86</v>
      </c>
      <c r="C117" s="76" t="s">
        <v>16</v>
      </c>
      <c r="D117" s="76" t="s">
        <v>187</v>
      </c>
      <c r="E117" s="76">
        <v>0</v>
      </c>
      <c r="F117" s="76" t="s">
        <v>71</v>
      </c>
      <c r="G117" s="76">
        <f>IF(Tabela16[[#This Row],[CICLO INSPECAO]]="Primeiro Ciclo",COUNTIF(Tabela16[[#This Row],[C-01]:[C-120]],"x"),0)</f>
        <v>0</v>
      </c>
      <c r="H117" s="76">
        <f>IF(Tabela16[[#This Row],[CICLO INSPECAO]]="Segundo Ciclo",COUNTIF(Tabela16[[#This Row],[C-01]:[C-120]],"x"),0)</f>
        <v>0</v>
      </c>
      <c r="I117" s="76">
        <f>IF(Tabela16[[#This Row],[CICLO INSPECAO]]="Terceiro Ciclo",COUNTIF(Tabela16[[#This Row],[C-01]:[C-120]],"x"),0)</f>
        <v>0</v>
      </c>
      <c r="J117" s="76">
        <f>IF(Tabela16[[#This Row],[CICLO INSPECAO]]="Quarto Ciclo",COUNTIF(Tabela16[[#This Row],[C-01]:[C-120]],"x"),0)</f>
        <v>0</v>
      </c>
      <c r="K117" s="76">
        <f>IF(Tabela16[[#This Row],[CICLO INSPECAO]]="Troca de Spindle",COUNTIF(Tabela16[[#This Row],[C-01]:[C-120]],"x"),0)</f>
        <v>0</v>
      </c>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row>
    <row r="118" spans="1:131" x14ac:dyDescent="0.3">
      <c r="A118" s="79">
        <v>45754</v>
      </c>
      <c r="B118" s="76" t="s">
        <v>86</v>
      </c>
      <c r="C118" s="76" t="s">
        <v>16</v>
      </c>
      <c r="D118" s="76" t="s">
        <v>187</v>
      </c>
      <c r="E118" s="76">
        <v>0</v>
      </c>
      <c r="F118" s="76" t="s">
        <v>72</v>
      </c>
      <c r="G118" s="76">
        <f>IF(Tabela16[[#This Row],[CICLO INSPECAO]]="Primeiro Ciclo",COUNTIF(Tabela16[[#This Row],[C-01]:[C-120]],"x"),0)</f>
        <v>0</v>
      </c>
      <c r="H118" s="76">
        <f>IF(Tabela16[[#This Row],[CICLO INSPECAO]]="Segundo Ciclo",COUNTIF(Tabela16[[#This Row],[C-01]:[C-120]],"x"),0)</f>
        <v>0</v>
      </c>
      <c r="I118" s="76">
        <f>IF(Tabela16[[#This Row],[CICLO INSPECAO]]="Terceiro Ciclo",COUNTIF(Tabela16[[#This Row],[C-01]:[C-120]],"x"),0)</f>
        <v>0</v>
      </c>
      <c r="J118" s="76">
        <f>IF(Tabela16[[#This Row],[CICLO INSPECAO]]="Quarto Ciclo",COUNTIF(Tabela16[[#This Row],[C-01]:[C-120]],"x"),0)</f>
        <v>0</v>
      </c>
      <c r="K118" s="76">
        <f>IF(Tabela16[[#This Row],[CICLO INSPECAO]]="Troca de Spindle",COUNTIF(Tabela16[[#This Row],[C-01]:[C-120]],"x"),0)</f>
        <v>0</v>
      </c>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row>
    <row r="119" spans="1:131" x14ac:dyDescent="0.3">
      <c r="A119" s="79">
        <v>45384</v>
      </c>
      <c r="B119" s="76">
        <v>66158</v>
      </c>
      <c r="C119" s="76" t="s">
        <v>16</v>
      </c>
      <c r="D119" s="76" t="s">
        <v>188</v>
      </c>
      <c r="E119" s="76">
        <v>80</v>
      </c>
      <c r="F119" s="76" t="s">
        <v>17</v>
      </c>
      <c r="G119" s="76">
        <f>IF(Tabela16[[#This Row],[CICLO INSPECAO]]="Primeiro Ciclo",COUNTIF(Tabela16[[#This Row],[C-01]:[C-120]],"x"),0)</f>
        <v>8</v>
      </c>
      <c r="H119" s="76">
        <f>IF(Tabela16[[#This Row],[CICLO INSPECAO]]="Segundo Ciclo",COUNTIF(Tabela16[[#This Row],[C-01]:[C-120]],"x"),0)</f>
        <v>0</v>
      </c>
      <c r="I119" s="76">
        <f>IF(Tabela16[[#This Row],[CICLO INSPECAO]]="Terceiro Ciclo",COUNTIF(Tabela16[[#This Row],[C-01]:[C-120]],"x"),0)</f>
        <v>0</v>
      </c>
      <c r="J119" s="76">
        <f>IF(Tabela16[[#This Row],[CICLO INSPECAO]]="Quarto Ciclo",COUNTIF(Tabela16[[#This Row],[C-01]:[C-120]],"x"),0)</f>
        <v>0</v>
      </c>
      <c r="K119" s="76">
        <f>IF(Tabela16[[#This Row],[CICLO INSPECAO]]="Troca de Spindle",COUNTIF(Tabela16[[#This Row],[C-01]:[C-120]],"x"),0)</f>
        <v>0</v>
      </c>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t="s">
        <v>351</v>
      </c>
      <c r="BF119" s="37"/>
      <c r="BG119" s="37" t="s">
        <v>351</v>
      </c>
      <c r="BH119" s="37"/>
      <c r="BI119" s="37"/>
      <c r="BJ119" s="37"/>
      <c r="BK119" s="37"/>
      <c r="BL119" s="37"/>
      <c r="BM119" s="37"/>
      <c r="BN119" s="37" t="s">
        <v>351</v>
      </c>
      <c r="BO119" s="37" t="s">
        <v>351</v>
      </c>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t="s">
        <v>351</v>
      </c>
      <c r="CT119" s="37"/>
      <c r="CU119" s="37"/>
      <c r="CV119" s="37"/>
      <c r="CW119" s="37"/>
      <c r="CX119" s="37"/>
      <c r="CY119" s="37"/>
      <c r="CZ119" s="37"/>
      <c r="DA119" s="37"/>
      <c r="DB119" s="37"/>
      <c r="DC119" s="37"/>
      <c r="DD119" s="37"/>
      <c r="DE119" s="37"/>
      <c r="DF119" s="37"/>
      <c r="DG119" s="37"/>
      <c r="DH119" s="37" t="s">
        <v>351</v>
      </c>
      <c r="DI119" s="37"/>
      <c r="DJ119" s="37"/>
      <c r="DK119" s="37"/>
      <c r="DL119" s="37"/>
      <c r="DM119" s="37"/>
      <c r="DN119" s="37"/>
      <c r="DO119" s="37"/>
      <c r="DP119" s="37"/>
      <c r="DQ119" s="37"/>
      <c r="DR119" s="37"/>
      <c r="DS119" s="37"/>
      <c r="DT119" s="37"/>
      <c r="DU119" s="37"/>
      <c r="DV119" s="37"/>
      <c r="DW119" s="37"/>
      <c r="DX119" s="37"/>
      <c r="DY119" s="37"/>
      <c r="DZ119" s="37" t="s">
        <v>351</v>
      </c>
      <c r="EA119" s="37" t="s">
        <v>351</v>
      </c>
    </row>
    <row r="120" spans="1:131" x14ac:dyDescent="0.3">
      <c r="A120" s="79">
        <v>45644</v>
      </c>
      <c r="B120" s="76" t="s">
        <v>86</v>
      </c>
      <c r="C120" s="76" t="s">
        <v>16</v>
      </c>
      <c r="D120" s="76" t="s">
        <v>188</v>
      </c>
      <c r="E120" s="76">
        <v>10</v>
      </c>
      <c r="F120" s="76" t="s">
        <v>71</v>
      </c>
      <c r="G120" s="76">
        <f>IF(Tabela16[[#This Row],[CICLO INSPECAO]]="Primeiro Ciclo",COUNTIF(Tabela16[[#This Row],[C-01]:[C-120]],"x"),0)</f>
        <v>0</v>
      </c>
      <c r="H120" s="76">
        <f>IF(Tabela16[[#This Row],[CICLO INSPECAO]]="Segundo Ciclo",COUNTIF(Tabela16[[#This Row],[C-01]:[C-120]],"x"),0)</f>
        <v>1</v>
      </c>
      <c r="I120" s="76">
        <f>IF(Tabela16[[#This Row],[CICLO INSPECAO]]="Terceiro Ciclo",COUNTIF(Tabela16[[#This Row],[C-01]:[C-120]],"x"),0)</f>
        <v>0</v>
      </c>
      <c r="J120" s="76">
        <f>IF(Tabela16[[#This Row],[CICLO INSPECAO]]="Quarto Ciclo",COUNTIF(Tabela16[[#This Row],[C-01]:[C-120]],"x"),0)</f>
        <v>0</v>
      </c>
      <c r="K120" s="76">
        <f>IF(Tabela16[[#This Row],[CICLO INSPECAO]]="Troca de Spindle",COUNTIF(Tabela16[[#This Row],[C-01]:[C-120]],"x"),0)</f>
        <v>0</v>
      </c>
      <c r="L120" s="7" t="s">
        <v>351</v>
      </c>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row>
    <row r="121" spans="1:131" x14ac:dyDescent="0.3">
      <c r="A121" s="79">
        <v>45755</v>
      </c>
      <c r="B121" s="76" t="s">
        <v>86</v>
      </c>
      <c r="C121" s="76" t="s">
        <v>16</v>
      </c>
      <c r="D121" s="76" t="s">
        <v>188</v>
      </c>
      <c r="E121" s="76">
        <v>0</v>
      </c>
      <c r="F121" s="76" t="s">
        <v>72</v>
      </c>
      <c r="G121" s="76">
        <f>IF(Tabela16[[#This Row],[CICLO INSPECAO]]="Primeiro Ciclo",COUNTIF(Tabela16[[#This Row],[C-01]:[C-120]],"x"),0)</f>
        <v>0</v>
      </c>
      <c r="H121" s="76">
        <f>IF(Tabela16[[#This Row],[CICLO INSPECAO]]="Segundo Ciclo",COUNTIF(Tabela16[[#This Row],[C-01]:[C-120]],"x"),0)</f>
        <v>0</v>
      </c>
      <c r="I121" s="76">
        <f>IF(Tabela16[[#This Row],[CICLO INSPECAO]]="Terceiro Ciclo",COUNTIF(Tabela16[[#This Row],[C-01]:[C-120]],"x"),0)</f>
        <v>0</v>
      </c>
      <c r="J121" s="76">
        <f>IF(Tabela16[[#This Row],[CICLO INSPECAO]]="Quarto Ciclo",COUNTIF(Tabela16[[#This Row],[C-01]:[C-120]],"x"),0)</f>
        <v>0</v>
      </c>
      <c r="K121" s="76">
        <f>IF(Tabela16[[#This Row],[CICLO INSPECAO]]="Troca de Spindle",COUNTIF(Tabela16[[#This Row],[C-01]:[C-120]],"x"),0)</f>
        <v>0</v>
      </c>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row>
    <row r="122" spans="1:131" x14ac:dyDescent="0.3">
      <c r="A122" s="79">
        <v>45433</v>
      </c>
      <c r="B122" s="76">
        <v>66887</v>
      </c>
      <c r="C122" s="76" t="s">
        <v>16</v>
      </c>
      <c r="D122" s="76" t="s">
        <v>189</v>
      </c>
      <c r="E122" s="76">
        <v>20</v>
      </c>
      <c r="F122" s="76" t="s">
        <v>17</v>
      </c>
      <c r="G122" s="76">
        <f>IF(Tabela16[[#This Row],[CICLO INSPECAO]]="Primeiro Ciclo",COUNTIF(Tabela16[[#This Row],[C-01]:[C-120]],"x"),0)</f>
        <v>2</v>
      </c>
      <c r="H122" s="76">
        <f>IF(Tabela16[[#This Row],[CICLO INSPECAO]]="Segundo Ciclo",COUNTIF(Tabela16[[#This Row],[C-01]:[C-120]],"x"),0)</f>
        <v>0</v>
      </c>
      <c r="I122" s="76">
        <f>IF(Tabela16[[#This Row],[CICLO INSPECAO]]="Terceiro Ciclo",COUNTIF(Tabela16[[#This Row],[C-01]:[C-120]],"x"),0)</f>
        <v>0</v>
      </c>
      <c r="J122" s="76">
        <f>IF(Tabela16[[#This Row],[CICLO INSPECAO]]="Quarto Ciclo",COUNTIF(Tabela16[[#This Row],[C-01]:[C-120]],"x"),0)</f>
        <v>0</v>
      </c>
      <c r="K122" s="76">
        <f>IF(Tabela16[[#This Row],[CICLO INSPECAO]]="Troca de Spindle",COUNTIF(Tabela16[[#This Row],[C-01]:[C-120]],"x"),0)</f>
        <v>0</v>
      </c>
      <c r="L122" s="7"/>
      <c r="M122" s="7"/>
      <c r="N122" s="7"/>
      <c r="O122" s="7"/>
      <c r="P122" s="7"/>
      <c r="Q122" s="7"/>
      <c r="R122" s="7"/>
      <c r="S122" s="7"/>
      <c r="T122" s="7"/>
      <c r="U122" s="7"/>
      <c r="V122" s="7"/>
      <c r="W122" s="7"/>
      <c r="X122" s="7"/>
      <c r="Y122" s="7"/>
      <c r="Z122" s="7"/>
      <c r="AA122" s="7"/>
      <c r="AB122" s="7"/>
      <c r="AC122" s="7"/>
      <c r="AD122" s="7"/>
      <c r="AE122" s="7"/>
      <c r="AF122" s="7"/>
      <c r="AG122" s="7" t="s">
        <v>351</v>
      </c>
      <c r="AH122" s="7" t="s">
        <v>351</v>
      </c>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row>
    <row r="123" spans="1:131" x14ac:dyDescent="0.3">
      <c r="A123" s="79">
        <v>45629</v>
      </c>
      <c r="B123" s="76" t="s">
        <v>86</v>
      </c>
      <c r="C123" s="76" t="s">
        <v>16</v>
      </c>
      <c r="D123" s="76" t="s">
        <v>189</v>
      </c>
      <c r="E123" s="76">
        <v>0</v>
      </c>
      <c r="F123" s="76" t="s">
        <v>71</v>
      </c>
      <c r="G123" s="76">
        <f>IF(Tabela16[[#This Row],[CICLO INSPECAO]]="Primeiro Ciclo",COUNTIF(Tabela16[[#This Row],[C-01]:[C-120]],"x"),0)</f>
        <v>0</v>
      </c>
      <c r="H123" s="76">
        <f>IF(Tabela16[[#This Row],[CICLO INSPECAO]]="Segundo Ciclo",COUNTIF(Tabela16[[#This Row],[C-01]:[C-120]],"x"),0)</f>
        <v>0</v>
      </c>
      <c r="I123" s="76">
        <f>IF(Tabela16[[#This Row],[CICLO INSPECAO]]="Terceiro Ciclo",COUNTIF(Tabela16[[#This Row],[C-01]:[C-120]],"x"),0)</f>
        <v>0</v>
      </c>
      <c r="J123" s="76">
        <f>IF(Tabela16[[#This Row],[CICLO INSPECAO]]="Quarto Ciclo",COUNTIF(Tabela16[[#This Row],[C-01]:[C-120]],"x"),0)</f>
        <v>0</v>
      </c>
      <c r="K123" s="76">
        <f>IF(Tabela16[[#This Row],[CICLO INSPECAO]]="Troca de Spindle",COUNTIF(Tabela16[[#This Row],[C-01]:[C-120]],"x"),0)</f>
        <v>0</v>
      </c>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7"/>
      <c r="DW123" s="7"/>
      <c r="DX123" s="7"/>
      <c r="DY123" s="7"/>
      <c r="DZ123" s="7"/>
      <c r="EA123" s="7"/>
    </row>
    <row r="124" spans="1:131" x14ac:dyDescent="0.3">
      <c r="A124" s="79">
        <v>45733</v>
      </c>
      <c r="B124" s="76" t="s">
        <v>86</v>
      </c>
      <c r="C124" s="76" t="s">
        <v>16</v>
      </c>
      <c r="D124" s="76" t="s">
        <v>189</v>
      </c>
      <c r="E124" s="76">
        <v>0</v>
      </c>
      <c r="F124" s="76" t="s">
        <v>72</v>
      </c>
      <c r="G124" s="76">
        <f>IF(Tabela16[[#This Row],[CICLO INSPECAO]]="Primeiro Ciclo",COUNTIF(Tabela16[[#This Row],[C-01]:[C-120]],"x"),0)</f>
        <v>0</v>
      </c>
      <c r="H124" s="76">
        <f>IF(Tabela16[[#This Row],[CICLO INSPECAO]]="Segundo Ciclo",COUNTIF(Tabela16[[#This Row],[C-01]:[C-120]],"x"),0)</f>
        <v>0</v>
      </c>
      <c r="I124" s="76">
        <f>IF(Tabela16[[#This Row],[CICLO INSPECAO]]="Terceiro Ciclo",COUNTIF(Tabela16[[#This Row],[C-01]:[C-120]],"x"),0)</f>
        <v>0</v>
      </c>
      <c r="J124" s="76">
        <f>IF(Tabela16[[#This Row],[CICLO INSPECAO]]="Quarto Ciclo",COUNTIF(Tabela16[[#This Row],[C-01]:[C-120]],"x"),0)</f>
        <v>0</v>
      </c>
      <c r="K124" s="76">
        <f>IF(Tabela16[[#This Row],[CICLO INSPECAO]]="Troca de Spindle",COUNTIF(Tabela16[[#This Row],[C-01]:[C-120]],"x"),0)</f>
        <v>0</v>
      </c>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row>
    <row r="125" spans="1:131" x14ac:dyDescent="0.3">
      <c r="A125" s="79">
        <v>45434</v>
      </c>
      <c r="B125" s="76" t="s">
        <v>86</v>
      </c>
      <c r="C125" s="76" t="s">
        <v>16</v>
      </c>
      <c r="D125" s="76" t="s">
        <v>190</v>
      </c>
      <c r="E125" s="76">
        <v>0</v>
      </c>
      <c r="F125" s="76" t="s">
        <v>17</v>
      </c>
      <c r="G125" s="76">
        <f>IF(Tabela16[[#This Row],[CICLO INSPECAO]]="Primeiro Ciclo",COUNTIF(Tabela16[[#This Row],[C-01]:[C-120]],"x"),0)</f>
        <v>0</v>
      </c>
      <c r="H125" s="76">
        <f>IF(Tabela16[[#This Row],[CICLO INSPECAO]]="Segundo Ciclo",COUNTIF(Tabela16[[#This Row],[C-01]:[C-120]],"x"),0)</f>
        <v>0</v>
      </c>
      <c r="I125" s="76">
        <f>IF(Tabela16[[#This Row],[CICLO INSPECAO]]="Terceiro Ciclo",COUNTIF(Tabela16[[#This Row],[C-01]:[C-120]],"x"),0)</f>
        <v>0</v>
      </c>
      <c r="J125" s="76">
        <f>IF(Tabela16[[#This Row],[CICLO INSPECAO]]="Quarto Ciclo",COUNTIF(Tabela16[[#This Row],[C-01]:[C-120]],"x"),0)</f>
        <v>0</v>
      </c>
      <c r="K125" s="76">
        <f>IF(Tabela16[[#This Row],[CICLO INSPECAO]]="Troca de Spindle",COUNTIF(Tabela16[[#This Row],[C-01]:[C-120]],"x"),0)</f>
        <v>0</v>
      </c>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row>
    <row r="126" spans="1:131" x14ac:dyDescent="0.3">
      <c r="A126" s="79">
        <v>45623</v>
      </c>
      <c r="B126" s="76" t="s">
        <v>86</v>
      </c>
      <c r="C126" s="76" t="s">
        <v>16</v>
      </c>
      <c r="D126" s="76" t="s">
        <v>190</v>
      </c>
      <c r="E126" s="76">
        <v>0</v>
      </c>
      <c r="F126" s="76" t="s">
        <v>71</v>
      </c>
      <c r="G126" s="76">
        <f>IF(Tabela16[[#This Row],[CICLO INSPECAO]]="Primeiro Ciclo",COUNTIF(Tabela16[[#This Row],[C-01]:[C-120]],"x"),0)</f>
        <v>0</v>
      </c>
      <c r="H126" s="76">
        <f>IF(Tabela16[[#This Row],[CICLO INSPECAO]]="Segundo Ciclo",COUNTIF(Tabela16[[#This Row],[C-01]:[C-120]],"x"),0)</f>
        <v>0</v>
      </c>
      <c r="I126" s="76">
        <f>IF(Tabela16[[#This Row],[CICLO INSPECAO]]="Terceiro Ciclo",COUNTIF(Tabela16[[#This Row],[C-01]:[C-120]],"x"),0)</f>
        <v>0</v>
      </c>
      <c r="J126" s="76">
        <f>IF(Tabela16[[#This Row],[CICLO INSPECAO]]="Quarto Ciclo",COUNTIF(Tabela16[[#This Row],[C-01]:[C-120]],"x"),0)</f>
        <v>0</v>
      </c>
      <c r="K126" s="76">
        <f>IF(Tabela16[[#This Row],[CICLO INSPECAO]]="Troca de Spindle",COUNTIF(Tabela16[[#This Row],[C-01]:[C-120]],"x"),0)</f>
        <v>0</v>
      </c>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row>
    <row r="127" spans="1:131" x14ac:dyDescent="0.3">
      <c r="A127" s="77">
        <v>45756</v>
      </c>
      <c r="B127" s="78" t="s">
        <v>86</v>
      </c>
      <c r="C127" s="76" t="s">
        <v>16</v>
      </c>
      <c r="D127" s="81" t="s">
        <v>190</v>
      </c>
      <c r="E127" s="81">
        <v>0</v>
      </c>
      <c r="F127" s="81" t="s">
        <v>72</v>
      </c>
      <c r="G127" s="81">
        <f>IF(Tabela16[[#This Row],[CICLO INSPECAO]]="Primeiro Ciclo",COUNTIF(Tabela16[[#This Row],[C-01]:[C-120]],"x"),0)</f>
        <v>0</v>
      </c>
      <c r="H127" s="81">
        <f>IF(Tabela16[[#This Row],[CICLO INSPECAO]]="Segundo Ciclo",COUNTIF(Tabela16[[#This Row],[C-01]:[C-120]],"x"),0)</f>
        <v>0</v>
      </c>
      <c r="I127" s="81">
        <f>IF(Tabela16[[#This Row],[CICLO INSPECAO]]="Terceiro Ciclo",COUNTIF(Tabela16[[#This Row],[C-01]:[C-120]],"x"),0)</f>
        <v>0</v>
      </c>
      <c r="J127" s="81">
        <f>IF(Tabela16[[#This Row],[CICLO INSPECAO]]="Quarto Ciclo",COUNTIF(Tabela16[[#This Row],[C-01]:[C-120]],"x"),0)</f>
        <v>0</v>
      </c>
      <c r="K127" s="81">
        <f>IF(Tabela16[[#This Row],[CICLO INSPECAO]]="Troca de Spindle",COUNTIF(Tabela16[[#This Row],[C-01]:[C-120]],"x"),0)</f>
        <v>0</v>
      </c>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c r="BI127" s="44"/>
      <c r="BJ127" s="44"/>
      <c r="BK127" s="44"/>
      <c r="BL127" s="44"/>
      <c r="BM127" s="44"/>
      <c r="BN127" s="44"/>
      <c r="BO127" s="44"/>
      <c r="BP127" s="44"/>
      <c r="BQ127" s="44"/>
      <c r="BR127" s="44"/>
      <c r="BS127" s="44"/>
      <c r="BT127" s="44"/>
      <c r="BU127" s="44"/>
      <c r="BV127" s="44"/>
      <c r="BW127" s="44"/>
      <c r="BX127" s="44"/>
      <c r="BY127" s="44"/>
      <c r="BZ127" s="44"/>
      <c r="CA127" s="44"/>
      <c r="CB127" s="44"/>
      <c r="CC127" s="44"/>
      <c r="CD127" s="44"/>
      <c r="CE127" s="44"/>
      <c r="CF127" s="44"/>
      <c r="CG127" s="44"/>
      <c r="CH127" s="44"/>
      <c r="CI127" s="44"/>
      <c r="CJ127" s="44"/>
      <c r="CK127" s="44"/>
      <c r="CL127" s="44"/>
      <c r="CM127" s="44"/>
      <c r="CN127" s="44"/>
      <c r="CO127" s="44"/>
      <c r="CP127" s="44"/>
      <c r="CQ127" s="44"/>
      <c r="CR127" s="44"/>
      <c r="CS127" s="44"/>
      <c r="CT127" s="44"/>
      <c r="CU127" s="44"/>
      <c r="CV127" s="44"/>
      <c r="CW127" s="44"/>
      <c r="CX127" s="44"/>
      <c r="CY127" s="44"/>
      <c r="CZ127" s="44"/>
      <c r="DA127" s="44"/>
      <c r="DB127" s="44"/>
      <c r="DC127" s="44"/>
      <c r="DD127" s="44"/>
      <c r="DE127" s="44"/>
      <c r="DF127" s="44"/>
      <c r="DG127" s="44"/>
      <c r="DH127" s="44"/>
      <c r="DI127" s="44"/>
      <c r="DJ127" s="44"/>
      <c r="DK127" s="44"/>
      <c r="DL127" s="44"/>
      <c r="DM127" s="44"/>
      <c r="DN127" s="44"/>
      <c r="DO127" s="44"/>
      <c r="DP127" s="44"/>
      <c r="DQ127" s="44"/>
      <c r="DR127" s="44"/>
      <c r="DS127" s="44"/>
      <c r="DT127" s="44"/>
      <c r="DU127" s="44"/>
      <c r="DV127" s="44"/>
      <c r="DW127" s="44"/>
      <c r="DX127" s="44"/>
      <c r="DY127" s="44"/>
      <c r="DZ127" s="44"/>
      <c r="EA127" s="44"/>
    </row>
    <row r="128" spans="1:131" x14ac:dyDescent="0.3">
      <c r="A128" s="77">
        <v>45862</v>
      </c>
      <c r="B128" s="78"/>
      <c r="C128" s="76" t="s">
        <v>82</v>
      </c>
      <c r="D128" s="81" t="s">
        <v>217</v>
      </c>
      <c r="E128" s="81">
        <v>1</v>
      </c>
      <c r="F128" s="81" t="s">
        <v>85</v>
      </c>
      <c r="G128" s="81">
        <f>IF(Tabela16[[#This Row],[CICLO INSPECAO]]="Primeiro Ciclo",COUNTIF(Tabela16[[#This Row],[C-01]:[C-120]],"x"),0)</f>
        <v>0</v>
      </c>
      <c r="H128" s="81">
        <f>IF(Tabela16[[#This Row],[CICLO INSPECAO]]="Segundo Ciclo",COUNTIF(Tabela16[[#This Row],[C-01]:[C-120]],"x"),0)</f>
        <v>0</v>
      </c>
      <c r="I128" s="81">
        <f>IF(Tabela16[[#This Row],[CICLO INSPECAO]]="Terceiro Ciclo",COUNTIF(Tabela16[[#This Row],[C-01]:[C-120]],"x"),0)</f>
        <v>0</v>
      </c>
      <c r="J128" s="81">
        <f>IF(Tabela16[[#This Row],[CICLO INSPECAO]]="Quarto Ciclo",COUNTIF(Tabela16[[#This Row],[C-01]:[C-120]],"x"),0)</f>
        <v>0</v>
      </c>
      <c r="K128" s="81">
        <f>IF(Tabela16[[#This Row],[CICLO INSPECAO]]="Troca de Spindle",COUNTIF(Tabela16[[#This Row],[C-01]:[C-120]],"x"),0)</f>
        <v>0</v>
      </c>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4"/>
      <c r="BC128" s="44"/>
      <c r="BD128" s="44"/>
      <c r="BE128" s="44"/>
      <c r="BF128" s="44"/>
      <c r="BG128" s="44"/>
      <c r="BH128" s="44"/>
      <c r="BI128" s="44"/>
      <c r="BJ128" s="44"/>
      <c r="BK128" s="44"/>
      <c r="BL128" s="44"/>
      <c r="BM128" s="44"/>
      <c r="BN128" s="44"/>
      <c r="BO128" s="44"/>
      <c r="BP128" s="44"/>
      <c r="BQ128" s="44"/>
      <c r="BR128" s="44"/>
      <c r="BS128" s="44"/>
      <c r="BT128" s="44"/>
      <c r="BU128" s="44"/>
      <c r="BV128" s="44"/>
      <c r="BW128" s="44"/>
      <c r="BX128" s="44"/>
      <c r="BY128" s="44"/>
      <c r="BZ128" s="44"/>
      <c r="CA128" s="44"/>
      <c r="CB128" s="44"/>
      <c r="CC128" s="44"/>
      <c r="CD128" s="44"/>
      <c r="CE128" s="44"/>
      <c r="CF128" s="44"/>
      <c r="CG128" s="44"/>
      <c r="CH128" s="44"/>
      <c r="CI128" s="44"/>
      <c r="CJ128" s="44"/>
      <c r="CK128" s="44"/>
      <c r="CL128" s="44"/>
      <c r="CM128" s="44"/>
      <c r="CN128" s="44"/>
      <c r="CO128" s="44"/>
      <c r="CP128" s="44"/>
      <c r="CQ128" s="44"/>
      <c r="CR128" s="44"/>
      <c r="CS128" s="44"/>
      <c r="CT128" s="44"/>
      <c r="CU128" s="44"/>
      <c r="CV128" s="44"/>
      <c r="CW128" s="44"/>
      <c r="CX128" s="44"/>
      <c r="CY128" s="44"/>
      <c r="CZ128" s="44"/>
      <c r="DA128" s="44"/>
      <c r="DB128" s="44"/>
      <c r="DC128" s="44"/>
      <c r="DD128" s="44"/>
      <c r="DE128" s="44"/>
      <c r="DF128" s="44"/>
      <c r="DG128" s="44"/>
      <c r="DH128" s="44"/>
      <c r="DI128" s="44"/>
      <c r="DJ128" s="44"/>
      <c r="DK128" s="44"/>
      <c r="DL128" s="44"/>
      <c r="DM128" s="44"/>
      <c r="DN128" s="44"/>
      <c r="DO128" s="44"/>
      <c r="DP128" s="44"/>
      <c r="DQ128" s="44"/>
      <c r="DR128" s="44"/>
      <c r="DS128" s="44"/>
      <c r="DT128" s="44"/>
      <c r="DU128" s="44"/>
      <c r="DV128" s="44"/>
      <c r="DW128" s="44"/>
      <c r="DX128" s="44"/>
      <c r="DY128" s="44"/>
      <c r="DZ128" s="44"/>
      <c r="EA128" s="44"/>
    </row>
    <row r="129" spans="1:131" x14ac:dyDescent="0.3">
      <c r="A129" s="77">
        <v>45912</v>
      </c>
      <c r="B129" s="78"/>
      <c r="C129" s="76" t="s">
        <v>16</v>
      </c>
      <c r="D129" s="81" t="s">
        <v>210</v>
      </c>
      <c r="E129" s="81">
        <v>2</v>
      </c>
      <c r="F129" s="81" t="s">
        <v>85</v>
      </c>
      <c r="G129" s="81">
        <f>IF(Tabela16[[#This Row],[CICLO INSPECAO]]="Primeiro Ciclo",COUNTIF(Tabela16[[#This Row],[C-01]:[C-120]],"x"),0)</f>
        <v>0</v>
      </c>
      <c r="H129" s="81">
        <f>IF(Tabela16[[#This Row],[CICLO INSPECAO]]="Segundo Ciclo",COUNTIF(Tabela16[[#This Row],[C-01]:[C-120]],"x"),0)</f>
        <v>0</v>
      </c>
      <c r="I129" s="81">
        <f>IF(Tabela16[[#This Row],[CICLO INSPECAO]]="Terceiro Ciclo",COUNTIF(Tabela16[[#This Row],[C-01]:[C-120]],"x"),0)</f>
        <v>0</v>
      </c>
      <c r="J129" s="81">
        <f>IF(Tabela16[[#This Row],[CICLO INSPECAO]]="Quarto Ciclo",COUNTIF(Tabela16[[#This Row],[C-01]:[C-120]],"x"),0)</f>
        <v>0</v>
      </c>
      <c r="K129" s="81">
        <f>IF(Tabela16[[#This Row],[CICLO INSPECAO]]="Troca de Spindle",COUNTIF(Tabela16[[#This Row],[C-01]:[C-120]],"x"),0)</f>
        <v>2</v>
      </c>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c r="BK129" s="44"/>
      <c r="BL129" s="44"/>
      <c r="BM129" s="44"/>
      <c r="BN129" s="44"/>
      <c r="BO129" s="44"/>
      <c r="BP129" s="44"/>
      <c r="BQ129" s="44"/>
      <c r="BR129" s="44" t="s">
        <v>424</v>
      </c>
      <c r="BS129" s="44"/>
      <c r="BT129" s="44"/>
      <c r="BU129" s="44"/>
      <c r="BV129" s="44"/>
      <c r="BW129" s="44"/>
      <c r="BX129" s="44"/>
      <c r="BY129" s="44"/>
      <c r="BZ129" s="44"/>
      <c r="CA129" s="44"/>
      <c r="CB129" s="44"/>
      <c r="CC129" s="44"/>
      <c r="CD129" s="44" t="s">
        <v>424</v>
      </c>
      <c r="CE129" s="44"/>
      <c r="CF129" s="44"/>
      <c r="CG129" s="44"/>
      <c r="CH129" s="44"/>
      <c r="CI129" s="44"/>
      <c r="CJ129" s="44"/>
      <c r="CK129" s="44"/>
      <c r="CL129" s="44"/>
      <c r="CM129" s="44"/>
      <c r="CN129" s="44"/>
      <c r="CO129" s="44"/>
      <c r="CP129" s="44"/>
      <c r="CQ129" s="44"/>
      <c r="CR129" s="44"/>
      <c r="CS129" s="44"/>
      <c r="CT129" s="44"/>
      <c r="CU129" s="44"/>
      <c r="CV129" s="44"/>
      <c r="CW129" s="44"/>
      <c r="CX129" s="44"/>
      <c r="CY129" s="44"/>
      <c r="CZ129" s="44"/>
      <c r="DA129" s="44"/>
      <c r="DB129" s="44"/>
      <c r="DC129" s="44"/>
      <c r="DD129" s="44"/>
      <c r="DE129" s="44"/>
      <c r="DF129" s="44"/>
      <c r="DG129" s="44"/>
      <c r="DH129" s="44"/>
      <c r="DI129" s="44"/>
      <c r="DJ129" s="44"/>
      <c r="DK129" s="44"/>
      <c r="DL129" s="44"/>
      <c r="DM129" s="44"/>
      <c r="DN129" s="44"/>
      <c r="DO129" s="44"/>
      <c r="DP129" s="44"/>
      <c r="DQ129" s="44"/>
      <c r="DR129" s="44"/>
      <c r="DS129" s="44"/>
      <c r="DT129" s="44"/>
      <c r="DU129" s="44"/>
      <c r="DV129" s="44"/>
      <c r="DW129" s="44"/>
      <c r="DX129" s="44"/>
      <c r="DY129" s="44"/>
      <c r="DZ129" s="44"/>
      <c r="EA129" s="44"/>
    </row>
    <row r="130" spans="1:131" x14ac:dyDescent="0.3">
      <c r="A130" s="74">
        <v>45937</v>
      </c>
      <c r="B130" s="75"/>
      <c r="C130" s="76" t="s">
        <v>16</v>
      </c>
      <c r="D130" s="81" t="s">
        <v>185</v>
      </c>
      <c r="E130" s="76">
        <v>3</v>
      </c>
      <c r="F130" s="81" t="s">
        <v>85</v>
      </c>
      <c r="G130" s="76">
        <f>IF(Tabela16[[#This Row],[CICLO INSPECAO]]="Primeiro Ciclo",COUNTIF(Tabela16[[#This Row],[C-01]:[C-120]],"x"),0)</f>
        <v>0</v>
      </c>
      <c r="H130" s="76">
        <f>IF(Tabela16[[#This Row],[CICLO INSPECAO]]="Segundo Ciclo",COUNTIF(Tabela16[[#This Row],[C-01]:[C-120]],"x"),0)</f>
        <v>0</v>
      </c>
      <c r="I130" s="76">
        <f>IF(Tabela16[[#This Row],[CICLO INSPECAO]]="Terceiro Ciclo",COUNTIF(Tabela16[[#This Row],[C-01]:[C-120]],"x"),0)</f>
        <v>0</v>
      </c>
      <c r="J130" s="76">
        <f>IF(Tabela16[[#This Row],[CICLO INSPECAO]]="Quarto Ciclo",COUNTIF(Tabela16[[#This Row],[C-01]:[C-120]],"x"),0)</f>
        <v>0</v>
      </c>
      <c r="K130" s="76">
        <f>IF(Tabela16[[#This Row],[CICLO INSPECAO]]="Troca de Spindle",COUNTIF(Tabela16[[#This Row],[C-01]:[C-120]],"x"),0)</f>
        <v>3</v>
      </c>
      <c r="L130" s="7"/>
      <c r="M130" s="7" t="s">
        <v>424</v>
      </c>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t="s">
        <v>424</v>
      </c>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t="s">
        <v>424</v>
      </c>
      <c r="DS130" s="7"/>
      <c r="DT130" s="7"/>
      <c r="DU130" s="7"/>
      <c r="DV130" s="7"/>
      <c r="DW130" s="7"/>
      <c r="DX130" s="7"/>
      <c r="DY130" s="7"/>
      <c r="DZ130" s="7"/>
      <c r="EA130" s="7"/>
    </row>
    <row r="131" spans="1:131" x14ac:dyDescent="0.3">
      <c r="A131" s="74">
        <v>45965</v>
      </c>
      <c r="B131" s="75"/>
      <c r="C131" s="76" t="s">
        <v>16</v>
      </c>
      <c r="D131" s="76" t="s">
        <v>183</v>
      </c>
      <c r="E131" s="76">
        <v>10</v>
      </c>
      <c r="F131" s="76" t="s">
        <v>423</v>
      </c>
      <c r="G131" s="76">
        <f>IF(Tabela16[[#This Row],[CICLO INSPECAO]]="Primeiro Ciclo",COUNTIF(Tabela16[[#This Row],[C-01]:[C-120]],"x"),0)</f>
        <v>0</v>
      </c>
      <c r="H131" s="76">
        <f>IF(Tabela16[[#This Row],[CICLO INSPECAO]]="Segundo Ciclo",COUNTIF(Tabela16[[#This Row],[C-01]:[C-120]],"x"),0)</f>
        <v>0</v>
      </c>
      <c r="I131" s="76">
        <f>IF(Tabela16[[#This Row],[CICLO INSPECAO]]="Terceiro Ciclo",COUNTIF(Tabela16[[#This Row],[C-01]:[C-120]],"x"),0)</f>
        <v>0</v>
      </c>
      <c r="J131" s="76">
        <f>IF(Tabela16[[#This Row],[CICLO INSPECAO]]="Quarto Ciclo",COUNTIF(Tabela16[[#This Row],[C-01]:[C-120]],"x"),0)</f>
        <v>1</v>
      </c>
      <c r="K131" s="76">
        <f>IF(Tabela16[[#This Row],[CICLO INSPECAO]]="Troca de Spindle",COUNTIF(Tabela16[[#This Row],[C-01]:[C-120]],"x"),0)</f>
        <v>0</v>
      </c>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t="s">
        <v>424</v>
      </c>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row>
    <row r="132" spans="1:131" x14ac:dyDescent="0.3">
      <c r="A132" s="77">
        <v>45966</v>
      </c>
      <c r="B132" s="78"/>
      <c r="C132" s="81" t="s">
        <v>16</v>
      </c>
      <c r="D132" s="81" t="s">
        <v>188</v>
      </c>
      <c r="E132" s="81">
        <v>10</v>
      </c>
      <c r="F132" s="76" t="s">
        <v>423</v>
      </c>
      <c r="G132" s="81">
        <f>IF(Tabela16[[#This Row],[CICLO INSPECAO]]="Primeiro Ciclo",COUNTIF(Tabela16[[#This Row],[C-01]:[C-120]],"x"),0)</f>
        <v>0</v>
      </c>
      <c r="H132" s="81">
        <f>IF(Tabela16[[#This Row],[CICLO INSPECAO]]="Segundo Ciclo",COUNTIF(Tabela16[[#This Row],[C-01]:[C-120]],"x"),0)</f>
        <v>0</v>
      </c>
      <c r="I132" s="81">
        <f>IF(Tabela16[[#This Row],[CICLO INSPECAO]]="Terceiro Ciclo",COUNTIF(Tabela16[[#This Row],[C-01]:[C-120]],"x"),0)</f>
        <v>0</v>
      </c>
      <c r="J132" s="81">
        <f>IF(Tabela16[[#This Row],[CICLO INSPECAO]]="Quarto Ciclo",COUNTIF(Tabela16[[#This Row],[C-01]:[C-120]],"x"),0)</f>
        <v>1</v>
      </c>
      <c r="K132" s="81">
        <f>IF(Tabela16[[#This Row],[CICLO INSPECAO]]="Troca de Spindle",COUNTIF(Tabela16[[#This Row],[C-01]:[C-120]],"x"),0)</f>
        <v>0</v>
      </c>
      <c r="L132" s="44"/>
      <c r="M132" s="44" t="s">
        <v>424</v>
      </c>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c r="BG132" s="44"/>
      <c r="BH132" s="44"/>
      <c r="BI132" s="44"/>
      <c r="BJ132" s="44"/>
      <c r="BK132" s="44"/>
      <c r="BL132" s="44"/>
      <c r="BM132" s="44"/>
      <c r="BN132" s="44"/>
      <c r="BO132" s="44"/>
      <c r="BP132" s="44"/>
      <c r="BQ132" s="44"/>
      <c r="BR132" s="44"/>
      <c r="BS132" s="44"/>
      <c r="BT132" s="44"/>
      <c r="BU132" s="44"/>
      <c r="BV132" s="44"/>
      <c r="BW132" s="44"/>
      <c r="BX132" s="44"/>
      <c r="BY132" s="44"/>
      <c r="BZ132" s="44"/>
      <c r="CA132" s="44"/>
      <c r="CB132" s="44"/>
      <c r="CC132" s="44"/>
      <c r="CD132" s="44"/>
      <c r="CE132" s="44"/>
      <c r="CF132" s="44"/>
      <c r="CG132" s="44"/>
      <c r="CH132" s="44"/>
      <c r="CI132" s="44"/>
      <c r="CJ132" s="44"/>
      <c r="CK132" s="44"/>
      <c r="CL132" s="44"/>
      <c r="CM132" s="44"/>
      <c r="CN132" s="44"/>
      <c r="CO132" s="44"/>
      <c r="CP132" s="44"/>
      <c r="CQ132" s="44"/>
      <c r="CR132" s="44"/>
      <c r="CS132" s="44"/>
      <c r="CT132" s="44"/>
      <c r="CU132" s="44"/>
      <c r="CV132" s="44"/>
      <c r="CW132" s="44"/>
      <c r="CX132" s="44"/>
      <c r="CY132" s="44"/>
      <c r="CZ132" s="44"/>
      <c r="DA132" s="44"/>
      <c r="DB132" s="44"/>
      <c r="DC132" s="44"/>
      <c r="DD132" s="44"/>
      <c r="DE132" s="44"/>
      <c r="DF132" s="44"/>
      <c r="DG132" s="44"/>
      <c r="DH132" s="44"/>
      <c r="DI132" s="44"/>
      <c r="DJ132" s="44"/>
      <c r="DK132" s="44"/>
      <c r="DL132" s="44"/>
      <c r="DM132" s="44"/>
      <c r="DN132" s="44"/>
      <c r="DO132" s="44"/>
      <c r="DP132" s="44"/>
      <c r="DQ132" s="44"/>
      <c r="DR132" s="44"/>
      <c r="DS132" s="44"/>
      <c r="DT132" s="44"/>
      <c r="DU132" s="44"/>
      <c r="DV132" s="44"/>
      <c r="DW132" s="44"/>
      <c r="DX132" s="44"/>
      <c r="DY132" s="44"/>
      <c r="DZ132" s="44"/>
      <c r="EA132" s="44"/>
    </row>
  </sheetData>
  <phoneticPr fontId="5" type="noConversion"/>
  <conditionalFormatting sqref="F2:K132">
    <cfRule type="expression" dxfId="143" priority="135">
      <formula>$EB2="Segundo Ciclo"</formula>
    </cfRule>
    <cfRule type="expression" dxfId="142" priority="134">
      <formula>$EB2="Terceiro Ciclo"</formula>
    </cfRule>
    <cfRule type="expression" dxfId="141" priority="136">
      <formula>$EB2="Primeiro Ciclo"</formula>
    </cfRule>
  </conditionalFormatting>
  <conditionalFormatting sqref="G2:G132">
    <cfRule type="expression" dxfId="140" priority="3">
      <formula>$G2&gt;0</formula>
    </cfRule>
  </conditionalFormatting>
  <conditionalFormatting sqref="H2:H132">
    <cfRule type="expression" dxfId="139" priority="2">
      <formula>$H2&gt;0</formula>
    </cfRule>
  </conditionalFormatting>
  <conditionalFormatting sqref="I2:J132">
    <cfRule type="expression" dxfId="138" priority="1">
      <formula>$I2&gt;0</formula>
    </cfRule>
  </conditionalFormatting>
  <conditionalFormatting sqref="L2:L132">
    <cfRule type="expression" dxfId="137" priority="133">
      <formula>$L2&gt;0</formula>
    </cfRule>
  </conditionalFormatting>
  <conditionalFormatting sqref="M2:M132">
    <cfRule type="expression" dxfId="136" priority="132">
      <formula>$M2&gt;0</formula>
    </cfRule>
  </conditionalFormatting>
  <conditionalFormatting sqref="N2:N132">
    <cfRule type="expression" dxfId="135" priority="131">
      <formula>$N2&gt;0</formula>
    </cfRule>
  </conditionalFormatting>
  <conditionalFormatting sqref="O2:O132">
    <cfRule type="expression" dxfId="134" priority="130">
      <formula>$O2&gt;0</formula>
    </cfRule>
  </conditionalFormatting>
  <conditionalFormatting sqref="P2:P132">
    <cfRule type="expression" dxfId="133" priority="129">
      <formula>$P2&gt;0</formula>
    </cfRule>
  </conditionalFormatting>
  <conditionalFormatting sqref="Q2:Q132">
    <cfRule type="expression" dxfId="132" priority="128">
      <formula>$Q2&gt;0</formula>
    </cfRule>
  </conditionalFormatting>
  <conditionalFormatting sqref="R2:R132">
    <cfRule type="expression" dxfId="131" priority="127">
      <formula>$R2&gt;0</formula>
    </cfRule>
  </conditionalFormatting>
  <conditionalFormatting sqref="S2:S132">
    <cfRule type="expression" dxfId="130" priority="126">
      <formula>$S2&gt;0</formula>
    </cfRule>
  </conditionalFormatting>
  <conditionalFormatting sqref="T2:T132">
    <cfRule type="expression" dxfId="129" priority="125">
      <formula>$T2&gt;0</formula>
    </cfRule>
  </conditionalFormatting>
  <conditionalFormatting sqref="U2:U132">
    <cfRule type="expression" dxfId="128" priority="124">
      <formula>$U2&gt;0</formula>
    </cfRule>
  </conditionalFormatting>
  <conditionalFormatting sqref="V2:V132">
    <cfRule type="expression" dxfId="127" priority="123">
      <formula>$V2&gt;0</formula>
    </cfRule>
  </conditionalFormatting>
  <conditionalFormatting sqref="W2:W132">
    <cfRule type="expression" dxfId="126" priority="122">
      <formula>$W2&gt;0</formula>
    </cfRule>
  </conditionalFormatting>
  <conditionalFormatting sqref="X2:X132">
    <cfRule type="expression" dxfId="125" priority="121">
      <formula>$X2&gt;0</formula>
    </cfRule>
  </conditionalFormatting>
  <conditionalFormatting sqref="Y2:Y132">
    <cfRule type="expression" dxfId="124" priority="120">
      <formula>$Y2&gt;0</formula>
    </cfRule>
  </conditionalFormatting>
  <conditionalFormatting sqref="Z2:Z132">
    <cfRule type="expression" dxfId="123" priority="119">
      <formula>$Z2&gt;0</formula>
    </cfRule>
  </conditionalFormatting>
  <conditionalFormatting sqref="AA2:AA132">
    <cfRule type="expression" dxfId="122" priority="118">
      <formula>$AA2&gt;0</formula>
    </cfRule>
  </conditionalFormatting>
  <conditionalFormatting sqref="AB2:AB132">
    <cfRule type="expression" dxfId="121" priority="117">
      <formula>$AB2&gt;0</formula>
    </cfRule>
  </conditionalFormatting>
  <conditionalFormatting sqref="AC2:AC132">
    <cfRule type="expression" dxfId="120" priority="116">
      <formula>$AC2&gt;0</formula>
    </cfRule>
  </conditionalFormatting>
  <conditionalFormatting sqref="AD2:AD132">
    <cfRule type="expression" dxfId="119" priority="115">
      <formula>$AD2&gt;0</formula>
    </cfRule>
  </conditionalFormatting>
  <conditionalFormatting sqref="AE2:AE132">
    <cfRule type="expression" dxfId="118" priority="114">
      <formula>$AE2&gt;0</formula>
    </cfRule>
  </conditionalFormatting>
  <conditionalFormatting sqref="AF2:AF132">
    <cfRule type="expression" dxfId="117" priority="113">
      <formula>$AF2&gt;0</formula>
    </cfRule>
  </conditionalFormatting>
  <conditionalFormatting sqref="AG2:AG132">
    <cfRule type="expression" dxfId="116" priority="112">
      <formula>$AG2&gt;0</formula>
    </cfRule>
  </conditionalFormatting>
  <conditionalFormatting sqref="AH2:AH132">
    <cfRule type="expression" dxfId="115" priority="111">
      <formula>$AH2&gt;0</formula>
    </cfRule>
  </conditionalFormatting>
  <conditionalFormatting sqref="AI2:AI132">
    <cfRule type="expression" dxfId="114" priority="110">
      <formula>$AI2&gt;0</formula>
    </cfRule>
  </conditionalFormatting>
  <conditionalFormatting sqref="AJ2:AJ132">
    <cfRule type="expression" dxfId="113" priority="109">
      <formula>$AJ2&gt;0</formula>
    </cfRule>
  </conditionalFormatting>
  <conditionalFormatting sqref="AK2:AK132">
    <cfRule type="expression" dxfId="112" priority="108">
      <formula>$AK2&gt;0</formula>
    </cfRule>
  </conditionalFormatting>
  <conditionalFormatting sqref="AL2:AL132">
    <cfRule type="expression" dxfId="111" priority="107">
      <formula>$AL2&gt;0</formula>
    </cfRule>
  </conditionalFormatting>
  <conditionalFormatting sqref="AM2:AM132">
    <cfRule type="expression" dxfId="110" priority="106">
      <formula>$AM2&gt;0</formula>
    </cfRule>
  </conditionalFormatting>
  <conditionalFormatting sqref="AN2:AN132">
    <cfRule type="expression" dxfId="109" priority="105">
      <formula>$AN2&gt;0</formula>
    </cfRule>
  </conditionalFormatting>
  <conditionalFormatting sqref="AO2:AO132">
    <cfRule type="expression" dxfId="108" priority="104">
      <formula>$AO2&gt;0</formula>
    </cfRule>
  </conditionalFormatting>
  <conditionalFormatting sqref="AP2:AP132">
    <cfRule type="expression" dxfId="107" priority="103">
      <formula>$AP2&gt;0</formula>
    </cfRule>
  </conditionalFormatting>
  <conditionalFormatting sqref="AQ2:AQ132">
    <cfRule type="expression" dxfId="106" priority="102">
      <formula>$AQ2&gt;0</formula>
    </cfRule>
  </conditionalFormatting>
  <conditionalFormatting sqref="AR2:AR132">
    <cfRule type="expression" dxfId="105" priority="101">
      <formula>$AR2&gt;0</formula>
    </cfRule>
  </conditionalFormatting>
  <conditionalFormatting sqref="AS2:AS132">
    <cfRule type="expression" dxfId="104" priority="100">
      <formula>$AS2&gt;0</formula>
    </cfRule>
  </conditionalFormatting>
  <conditionalFormatting sqref="AT2:AT132">
    <cfRule type="expression" dxfId="103" priority="99">
      <formula>$AT2&gt;0</formula>
    </cfRule>
  </conditionalFormatting>
  <conditionalFormatting sqref="AU2:AU132">
    <cfRule type="expression" dxfId="102" priority="98">
      <formula>$AU2&gt;0</formula>
    </cfRule>
  </conditionalFormatting>
  <conditionalFormatting sqref="AV2:AV132">
    <cfRule type="expression" dxfId="101" priority="97">
      <formula>$AV2&gt;0</formula>
    </cfRule>
  </conditionalFormatting>
  <conditionalFormatting sqref="AW2:AW132">
    <cfRule type="expression" dxfId="100" priority="96">
      <formula>$AW2&gt;0</formula>
    </cfRule>
  </conditionalFormatting>
  <conditionalFormatting sqref="AX2:AX132">
    <cfRule type="expression" dxfId="99" priority="95">
      <formula>$AX2&gt;0</formula>
    </cfRule>
  </conditionalFormatting>
  <conditionalFormatting sqref="AY2:AY132">
    <cfRule type="expression" dxfId="98" priority="94">
      <formula>$AY2&gt;0</formula>
    </cfRule>
  </conditionalFormatting>
  <conditionalFormatting sqref="AZ2:AZ132">
    <cfRule type="expression" dxfId="97" priority="93">
      <formula>$AZ2&gt;0</formula>
    </cfRule>
  </conditionalFormatting>
  <conditionalFormatting sqref="BA2:BA132">
    <cfRule type="expression" dxfId="96" priority="92">
      <formula>$BA2&gt;0</formula>
    </cfRule>
  </conditionalFormatting>
  <conditionalFormatting sqref="BB2:BB132">
    <cfRule type="expression" dxfId="95" priority="91">
      <formula>$BB2&gt;0</formula>
    </cfRule>
  </conditionalFormatting>
  <conditionalFormatting sqref="BC2:BC132">
    <cfRule type="expression" dxfId="94" priority="90">
      <formula>$BC2&gt;0</formula>
    </cfRule>
  </conditionalFormatting>
  <conditionalFormatting sqref="BD2:BD132">
    <cfRule type="expression" dxfId="93" priority="89">
      <formula>$BD2&gt;0</formula>
    </cfRule>
  </conditionalFormatting>
  <conditionalFormatting sqref="BE2:BE132">
    <cfRule type="expression" dxfId="92" priority="88">
      <formula>$BE2&gt;0</formula>
    </cfRule>
  </conditionalFormatting>
  <conditionalFormatting sqref="BF2:BF132">
    <cfRule type="expression" dxfId="91" priority="87">
      <formula>$BF2&gt;0</formula>
    </cfRule>
  </conditionalFormatting>
  <conditionalFormatting sqref="BG2:BG132">
    <cfRule type="expression" dxfId="90" priority="86">
      <formula>$BG2&gt;0</formula>
    </cfRule>
  </conditionalFormatting>
  <conditionalFormatting sqref="BH2:BH132">
    <cfRule type="expression" dxfId="89" priority="85">
      <formula>$BH2&gt;0</formula>
    </cfRule>
  </conditionalFormatting>
  <conditionalFormatting sqref="BI2:BI132">
    <cfRule type="expression" dxfId="88" priority="84">
      <formula>$BI2&gt;0</formula>
    </cfRule>
  </conditionalFormatting>
  <conditionalFormatting sqref="BJ2:BJ132">
    <cfRule type="expression" dxfId="87" priority="83">
      <formula>$BJ2&gt;0</formula>
    </cfRule>
  </conditionalFormatting>
  <conditionalFormatting sqref="BK2:BK132">
    <cfRule type="expression" dxfId="86" priority="82">
      <formula>$BK2&gt;0</formula>
    </cfRule>
  </conditionalFormatting>
  <conditionalFormatting sqref="BL2:BL132">
    <cfRule type="expression" dxfId="85" priority="81">
      <formula>$BL2&gt;0</formula>
    </cfRule>
  </conditionalFormatting>
  <conditionalFormatting sqref="BM2:BM132">
    <cfRule type="expression" dxfId="84" priority="80">
      <formula>$BM2&gt;0</formula>
    </cfRule>
  </conditionalFormatting>
  <conditionalFormatting sqref="BN2:BN132">
    <cfRule type="expression" dxfId="83" priority="79">
      <formula>$BN2&gt;0</formula>
    </cfRule>
  </conditionalFormatting>
  <conditionalFormatting sqref="BO2:BO132">
    <cfRule type="expression" dxfId="82" priority="78">
      <formula>$BO2&gt;0</formula>
    </cfRule>
  </conditionalFormatting>
  <conditionalFormatting sqref="BP2:BP132">
    <cfRule type="expression" dxfId="81" priority="77">
      <formula>$BP2&gt;0</formula>
    </cfRule>
  </conditionalFormatting>
  <conditionalFormatting sqref="BQ2:BQ132">
    <cfRule type="expression" dxfId="80" priority="76">
      <formula>$BQ2&gt;0</formula>
    </cfRule>
  </conditionalFormatting>
  <conditionalFormatting sqref="BR2:BR132">
    <cfRule type="expression" dxfId="79" priority="75">
      <formula>$BR2&gt;0</formula>
    </cfRule>
  </conditionalFormatting>
  <conditionalFormatting sqref="BS2:BS132">
    <cfRule type="expression" dxfId="78" priority="74">
      <formula>$BS2&gt;0</formula>
    </cfRule>
  </conditionalFormatting>
  <conditionalFormatting sqref="BT2:BT132">
    <cfRule type="expression" dxfId="77" priority="73">
      <formula>$BT2&gt;0</formula>
    </cfRule>
  </conditionalFormatting>
  <conditionalFormatting sqref="BU2:BU132">
    <cfRule type="expression" dxfId="76" priority="72">
      <formula>$BU2&gt;0</formula>
    </cfRule>
  </conditionalFormatting>
  <conditionalFormatting sqref="BV2:BV132">
    <cfRule type="expression" dxfId="75" priority="71">
      <formula>$BV2&gt;0</formula>
    </cfRule>
  </conditionalFormatting>
  <conditionalFormatting sqref="BW2:BW132">
    <cfRule type="expression" dxfId="74" priority="70">
      <formula>$BW2&gt;0</formula>
    </cfRule>
  </conditionalFormatting>
  <conditionalFormatting sqref="BX2:BX132">
    <cfRule type="expression" dxfId="73" priority="69">
      <formula>$BX2&gt;0</formula>
    </cfRule>
  </conditionalFormatting>
  <conditionalFormatting sqref="BY2:BY132">
    <cfRule type="expression" dxfId="72" priority="68">
      <formula>$BY2&gt;0</formula>
    </cfRule>
  </conditionalFormatting>
  <conditionalFormatting sqref="BZ2:BZ132">
    <cfRule type="expression" dxfId="71" priority="67">
      <formula>$BZ2&gt;0</formula>
    </cfRule>
  </conditionalFormatting>
  <conditionalFormatting sqref="CA2:CA132">
    <cfRule type="expression" dxfId="70" priority="66">
      <formula>$CA2&gt;0</formula>
    </cfRule>
  </conditionalFormatting>
  <conditionalFormatting sqref="CB2:CB132">
    <cfRule type="expression" dxfId="69" priority="65">
      <formula>$CB2&gt;0</formula>
    </cfRule>
  </conditionalFormatting>
  <conditionalFormatting sqref="CC2:CC132">
    <cfRule type="expression" dxfId="68" priority="64">
      <formula>$CC2&gt;0</formula>
    </cfRule>
  </conditionalFormatting>
  <conditionalFormatting sqref="CD2:CD132">
    <cfRule type="expression" dxfId="67" priority="63">
      <formula>$CD2&gt;0</formula>
    </cfRule>
  </conditionalFormatting>
  <conditionalFormatting sqref="CE2:CE132">
    <cfRule type="expression" dxfId="66" priority="62">
      <formula>$CE2&gt;0</formula>
    </cfRule>
  </conditionalFormatting>
  <conditionalFormatting sqref="CF2:CF132">
    <cfRule type="expression" dxfId="65" priority="61">
      <formula>$CF2&gt;0</formula>
    </cfRule>
  </conditionalFormatting>
  <conditionalFormatting sqref="CG2:CG132">
    <cfRule type="expression" dxfId="64" priority="60">
      <formula>$CG2&gt;0</formula>
    </cfRule>
  </conditionalFormatting>
  <conditionalFormatting sqref="CH2:CH132">
    <cfRule type="expression" dxfId="63" priority="59">
      <formula>$CH2&gt;0</formula>
    </cfRule>
  </conditionalFormatting>
  <conditionalFormatting sqref="CI2:CI132">
    <cfRule type="expression" dxfId="62" priority="58">
      <formula>$CI2&gt;0</formula>
    </cfRule>
  </conditionalFormatting>
  <conditionalFormatting sqref="CJ2:CJ132">
    <cfRule type="expression" dxfId="61" priority="57">
      <formula>$CJ2&gt;0</formula>
    </cfRule>
  </conditionalFormatting>
  <conditionalFormatting sqref="CK2:CK132">
    <cfRule type="expression" dxfId="60" priority="56">
      <formula>$CK2&gt;0</formula>
    </cfRule>
  </conditionalFormatting>
  <conditionalFormatting sqref="CL2:CL132">
    <cfRule type="expression" dxfId="59" priority="55">
      <formula>$CL2&gt;0</formula>
    </cfRule>
  </conditionalFormatting>
  <conditionalFormatting sqref="CM2:CM132">
    <cfRule type="expression" dxfId="58" priority="54">
      <formula>$CM2&gt;0</formula>
    </cfRule>
  </conditionalFormatting>
  <conditionalFormatting sqref="CN2:CN132">
    <cfRule type="expression" dxfId="57" priority="53">
      <formula>$CN2&gt;0</formula>
    </cfRule>
  </conditionalFormatting>
  <conditionalFormatting sqref="CO2:CO132">
    <cfRule type="expression" dxfId="56" priority="52">
      <formula>$CO2&gt;0</formula>
    </cfRule>
  </conditionalFormatting>
  <conditionalFormatting sqref="CP2:CP132">
    <cfRule type="expression" dxfId="55" priority="51">
      <formula>$CP2&gt;0</formula>
    </cfRule>
  </conditionalFormatting>
  <conditionalFormatting sqref="CQ2:CQ132">
    <cfRule type="expression" dxfId="54" priority="50">
      <formula>$CQ2&gt;0</formula>
    </cfRule>
  </conditionalFormatting>
  <conditionalFormatting sqref="CR2:CR132">
    <cfRule type="expression" dxfId="53" priority="49">
      <formula>$CR2&gt;0</formula>
    </cfRule>
  </conditionalFormatting>
  <conditionalFormatting sqref="CS2:CS132">
    <cfRule type="expression" dxfId="52" priority="48">
      <formula>$CS2&gt;0</formula>
    </cfRule>
  </conditionalFormatting>
  <conditionalFormatting sqref="CT2:CT132">
    <cfRule type="expression" dxfId="51" priority="47">
      <formula>$CT2&gt;0</formula>
    </cfRule>
  </conditionalFormatting>
  <conditionalFormatting sqref="CU2:CU132">
    <cfRule type="expression" dxfId="50" priority="46">
      <formula>$CU2&gt;0</formula>
    </cfRule>
  </conditionalFormatting>
  <conditionalFormatting sqref="CV2:CV132">
    <cfRule type="expression" dxfId="49" priority="45">
      <formula>$CV2&gt;0</formula>
    </cfRule>
  </conditionalFormatting>
  <conditionalFormatting sqref="CW2:CW132">
    <cfRule type="expression" dxfId="48" priority="44">
      <formula>$CW2&gt;0</formula>
    </cfRule>
  </conditionalFormatting>
  <conditionalFormatting sqref="CX2:CX132">
    <cfRule type="expression" dxfId="47" priority="43">
      <formula>$CX2&gt;0</formula>
    </cfRule>
  </conditionalFormatting>
  <conditionalFormatting sqref="CY2:CY132">
    <cfRule type="expression" dxfId="46" priority="42">
      <formula>$CY2&gt;0</formula>
    </cfRule>
  </conditionalFormatting>
  <conditionalFormatting sqref="CZ2:CZ132">
    <cfRule type="expression" dxfId="45" priority="41">
      <formula>$CZ2&gt;0</formula>
    </cfRule>
  </conditionalFormatting>
  <conditionalFormatting sqref="DA2:DA132">
    <cfRule type="expression" dxfId="44" priority="40">
      <formula>$DA2&gt;0</formula>
    </cfRule>
  </conditionalFormatting>
  <conditionalFormatting sqref="DB2:DB132">
    <cfRule type="expression" dxfId="43" priority="39">
      <formula>$DB2&gt;0</formula>
    </cfRule>
  </conditionalFormatting>
  <conditionalFormatting sqref="DC2:DC132">
    <cfRule type="expression" dxfId="42" priority="38">
      <formula>$DC2&gt;0</formula>
    </cfRule>
  </conditionalFormatting>
  <conditionalFormatting sqref="DD2:DD132">
    <cfRule type="expression" dxfId="41" priority="37">
      <formula>$DD2&gt;0</formula>
    </cfRule>
  </conditionalFormatting>
  <conditionalFormatting sqref="DE2:DE132">
    <cfRule type="expression" dxfId="40" priority="36">
      <formula>$DE2&gt;0</formula>
    </cfRule>
  </conditionalFormatting>
  <conditionalFormatting sqref="DF2:DF132">
    <cfRule type="expression" dxfId="39" priority="35">
      <formula>$DF2&gt;0</formula>
    </cfRule>
  </conditionalFormatting>
  <conditionalFormatting sqref="DG2:DG132">
    <cfRule type="expression" dxfId="38" priority="34">
      <formula>$DG2&gt;0</formula>
    </cfRule>
  </conditionalFormatting>
  <conditionalFormatting sqref="DH2:DH132">
    <cfRule type="expression" dxfId="37" priority="33">
      <formula>$DH2&gt;0</formula>
    </cfRule>
  </conditionalFormatting>
  <conditionalFormatting sqref="DI2:DI132">
    <cfRule type="expression" dxfId="36" priority="30">
      <formula>$DI2&gt;0</formula>
    </cfRule>
  </conditionalFormatting>
  <conditionalFormatting sqref="DJ2:DJ132">
    <cfRule type="expression" dxfId="35" priority="29">
      <formula>$DJ2&gt;0</formula>
    </cfRule>
  </conditionalFormatting>
  <conditionalFormatting sqref="DK2:DK132">
    <cfRule type="expression" dxfId="34" priority="28">
      <formula>$DK2&gt;0</formula>
    </cfRule>
  </conditionalFormatting>
  <conditionalFormatting sqref="DL2:DL132">
    <cfRule type="expression" dxfId="33" priority="32">
      <formula>$DL2&gt;0</formula>
    </cfRule>
  </conditionalFormatting>
  <conditionalFormatting sqref="DM2:DM132">
    <cfRule type="expression" dxfId="32" priority="27">
      <formula>$DM2&gt;0</formula>
    </cfRule>
  </conditionalFormatting>
  <conditionalFormatting sqref="DN2:DN132">
    <cfRule type="expression" dxfId="31" priority="26">
      <formula>$DN2&gt;0</formula>
    </cfRule>
  </conditionalFormatting>
  <conditionalFormatting sqref="DO2:DO132">
    <cfRule type="expression" dxfId="30" priority="25">
      <formula>$DO2&gt;0</formula>
    </cfRule>
  </conditionalFormatting>
  <conditionalFormatting sqref="DP2:DP132">
    <cfRule type="expression" dxfId="29" priority="24">
      <formula>$DP2&gt;0</formula>
    </cfRule>
  </conditionalFormatting>
  <conditionalFormatting sqref="DQ2:DQ132">
    <cfRule type="expression" dxfId="28" priority="23">
      <formula>$DQ2&gt;0</formula>
    </cfRule>
  </conditionalFormatting>
  <conditionalFormatting sqref="DR2:DR132">
    <cfRule type="expression" dxfId="27" priority="22">
      <formula>$DR2&gt;0</formula>
    </cfRule>
  </conditionalFormatting>
  <conditionalFormatting sqref="DS2:DS132">
    <cfRule type="expression" dxfId="26" priority="21">
      <formula>$DS2&gt;0</formula>
    </cfRule>
  </conditionalFormatting>
  <conditionalFormatting sqref="DT2:DT132">
    <cfRule type="expression" dxfId="25" priority="20">
      <formula>$DT2&gt;0</formula>
    </cfRule>
  </conditionalFormatting>
  <conditionalFormatting sqref="DU2:DU132">
    <cfRule type="expression" dxfId="24" priority="19">
      <formula>$DU2&gt;0</formula>
    </cfRule>
  </conditionalFormatting>
  <conditionalFormatting sqref="DV2:DV132">
    <cfRule type="expression" dxfId="23" priority="18">
      <formula>$DV2&gt;0</formula>
    </cfRule>
  </conditionalFormatting>
  <conditionalFormatting sqref="DW2:DW132">
    <cfRule type="expression" dxfId="22" priority="17">
      <formula>$DW2&gt;0</formula>
    </cfRule>
  </conditionalFormatting>
  <conditionalFormatting sqref="DX2:DX132">
    <cfRule type="expression" dxfId="21" priority="16">
      <formula>$DX2&gt;0</formula>
    </cfRule>
  </conditionalFormatting>
  <conditionalFormatting sqref="DY2:DY132">
    <cfRule type="expression" dxfId="20" priority="15">
      <formula>$DY2&gt;0</formula>
    </cfRule>
  </conditionalFormatting>
  <conditionalFormatting sqref="DZ2:DZ132">
    <cfRule type="expression" dxfId="19" priority="14">
      <formula>$DZ2&gt;0</formula>
    </cfRule>
  </conditionalFormatting>
  <conditionalFormatting sqref="EA2:EA132">
    <cfRule type="expression" dxfId="18" priority="13">
      <formula>$EA2&gt;0</formula>
    </cfRule>
  </conditionalFormatting>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A1E09-62E6-4625-BD0C-331F3F769451}">
  <dimension ref="A1:J255"/>
  <sheetViews>
    <sheetView zoomScale="85" zoomScaleNormal="85" workbookViewId="0">
      <pane ySplit="1" topLeftCell="A245" activePane="bottomLeft" state="frozen"/>
      <selection pane="bottomLeft" activeCell="H260" sqref="H260"/>
    </sheetView>
  </sheetViews>
  <sheetFormatPr defaultRowHeight="14.4" x14ac:dyDescent="0.3"/>
  <cols>
    <col min="1" max="1" width="18.33203125" bestFit="1" customWidth="1"/>
    <col min="2" max="2" width="8.77734375" bestFit="1" customWidth="1"/>
    <col min="3" max="3" width="15.33203125" customWidth="1"/>
    <col min="4" max="4" width="9.6640625" bestFit="1" customWidth="1"/>
    <col min="5" max="5" width="22.33203125" bestFit="1" customWidth="1"/>
    <col min="6" max="6" width="13" bestFit="1" customWidth="1"/>
    <col min="7" max="7" width="14.77734375" bestFit="1" customWidth="1"/>
    <col min="8" max="8" width="21.33203125" bestFit="1" customWidth="1"/>
    <col min="9" max="9" width="16.109375" bestFit="1" customWidth="1"/>
    <col min="10" max="10" width="16.5546875" bestFit="1" customWidth="1"/>
    <col min="12" max="12" width="12.44140625" bestFit="1" customWidth="1"/>
  </cols>
  <sheetData>
    <row r="1" spans="1:10" ht="30" customHeight="1" x14ac:dyDescent="0.3">
      <c r="A1" s="3" t="s">
        <v>364</v>
      </c>
      <c r="B1" s="3" t="s">
        <v>0</v>
      </c>
      <c r="C1" s="3" t="s">
        <v>1</v>
      </c>
      <c r="D1" s="3" t="s">
        <v>365</v>
      </c>
      <c r="E1" s="3" t="s">
        <v>366</v>
      </c>
      <c r="F1" s="3" t="s">
        <v>367</v>
      </c>
      <c r="G1" s="3" t="s">
        <v>368</v>
      </c>
      <c r="H1" s="3" t="s">
        <v>369</v>
      </c>
      <c r="I1" s="3" t="s">
        <v>370</v>
      </c>
      <c r="J1" s="3" t="s">
        <v>371</v>
      </c>
    </row>
    <row r="2" spans="1:10" x14ac:dyDescent="0.3">
      <c r="A2" s="16">
        <v>45408</v>
      </c>
      <c r="B2" s="15">
        <v>66934</v>
      </c>
      <c r="C2" s="14" t="s">
        <v>16</v>
      </c>
      <c r="D2" s="15" t="s">
        <v>376</v>
      </c>
      <c r="E2" s="15">
        <v>10</v>
      </c>
      <c r="F2" s="15">
        <v>6</v>
      </c>
      <c r="G2" s="15" t="s">
        <v>15</v>
      </c>
      <c r="H2" s="15" t="s">
        <v>17</v>
      </c>
      <c r="I2" s="15" t="s">
        <v>74</v>
      </c>
      <c r="J2" s="16">
        <v>45568</v>
      </c>
    </row>
    <row r="3" spans="1:10" x14ac:dyDescent="0.3">
      <c r="A3" s="16">
        <v>45415</v>
      </c>
      <c r="B3" s="15">
        <v>66933</v>
      </c>
      <c r="C3" s="14" t="s">
        <v>81</v>
      </c>
      <c r="D3" s="15" t="s">
        <v>377</v>
      </c>
      <c r="E3" s="15">
        <v>10</v>
      </c>
      <c r="F3" s="15">
        <v>6</v>
      </c>
      <c r="G3" s="15" t="s">
        <v>15</v>
      </c>
      <c r="H3" s="15" t="s">
        <v>17</v>
      </c>
      <c r="I3" s="15" t="s">
        <v>74</v>
      </c>
      <c r="J3" s="16">
        <v>45558</v>
      </c>
    </row>
    <row r="4" spans="1:10" x14ac:dyDescent="0.3">
      <c r="A4" s="16">
        <v>45446</v>
      </c>
      <c r="B4" s="15">
        <v>67257</v>
      </c>
      <c r="C4" s="14" t="s">
        <v>82</v>
      </c>
      <c r="D4" s="15" t="s">
        <v>397</v>
      </c>
      <c r="E4" s="15">
        <v>10</v>
      </c>
      <c r="F4" s="15">
        <v>6</v>
      </c>
      <c r="G4" s="15" t="s">
        <v>15</v>
      </c>
      <c r="H4" s="15" t="s">
        <v>17</v>
      </c>
      <c r="I4" s="15" t="s">
        <v>74</v>
      </c>
      <c r="J4" s="16">
        <v>45461</v>
      </c>
    </row>
    <row r="5" spans="1:10" x14ac:dyDescent="0.3">
      <c r="A5" s="16">
        <v>45447</v>
      </c>
      <c r="B5" s="15">
        <v>67315</v>
      </c>
      <c r="C5" s="14" t="s">
        <v>82</v>
      </c>
      <c r="D5" s="15" t="s">
        <v>399</v>
      </c>
      <c r="E5" s="15">
        <v>10</v>
      </c>
      <c r="F5" s="15">
        <v>6</v>
      </c>
      <c r="G5" s="15" t="s">
        <v>15</v>
      </c>
      <c r="H5" s="15" t="s">
        <v>17</v>
      </c>
      <c r="I5" s="15" t="s">
        <v>74</v>
      </c>
      <c r="J5" s="16">
        <v>45468</v>
      </c>
    </row>
    <row r="6" spans="1:10" x14ac:dyDescent="0.3">
      <c r="A6" s="16">
        <v>45384</v>
      </c>
      <c r="B6" s="15">
        <v>66158</v>
      </c>
      <c r="C6" s="14" t="s">
        <v>16</v>
      </c>
      <c r="D6" s="15" t="s">
        <v>372</v>
      </c>
      <c r="E6" s="15">
        <v>10</v>
      </c>
      <c r="F6" s="15">
        <v>86</v>
      </c>
      <c r="G6" s="15" t="s">
        <v>15</v>
      </c>
      <c r="H6" s="15" t="s">
        <v>17</v>
      </c>
      <c r="I6" s="15" t="s">
        <v>74</v>
      </c>
      <c r="J6" s="16">
        <v>45580</v>
      </c>
    </row>
    <row r="7" spans="1:10" x14ac:dyDescent="0.3">
      <c r="A7" s="16">
        <v>45384</v>
      </c>
      <c r="B7" s="15">
        <v>66158</v>
      </c>
      <c r="C7" s="14" t="s">
        <v>16</v>
      </c>
      <c r="D7" s="15" t="s">
        <v>372</v>
      </c>
      <c r="E7" s="15">
        <v>10</v>
      </c>
      <c r="F7" s="15">
        <v>101</v>
      </c>
      <c r="G7" s="15" t="s">
        <v>15</v>
      </c>
      <c r="H7" s="15" t="s">
        <v>17</v>
      </c>
      <c r="I7" s="15" t="s">
        <v>74</v>
      </c>
      <c r="J7" s="16">
        <v>45580</v>
      </c>
    </row>
    <row r="8" spans="1:10" x14ac:dyDescent="0.3">
      <c r="A8" s="16">
        <v>45384</v>
      </c>
      <c r="B8" s="15">
        <v>66158</v>
      </c>
      <c r="C8" s="14" t="s">
        <v>16</v>
      </c>
      <c r="D8" s="15" t="s">
        <v>372</v>
      </c>
      <c r="E8" s="15">
        <v>10</v>
      </c>
      <c r="F8" s="15">
        <v>119</v>
      </c>
      <c r="G8" s="15" t="s">
        <v>15</v>
      </c>
      <c r="H8" s="15" t="s">
        <v>17</v>
      </c>
      <c r="I8" s="15" t="s">
        <v>74</v>
      </c>
      <c r="J8" s="16">
        <v>45580</v>
      </c>
    </row>
    <row r="9" spans="1:10" x14ac:dyDescent="0.3">
      <c r="A9" s="16">
        <v>45384</v>
      </c>
      <c r="B9" s="15">
        <v>66158</v>
      </c>
      <c r="C9" s="14" t="s">
        <v>16</v>
      </c>
      <c r="D9" s="15" t="s">
        <v>372</v>
      </c>
      <c r="E9" s="15">
        <v>10</v>
      </c>
      <c r="F9" s="15">
        <v>120</v>
      </c>
      <c r="G9" s="15" t="s">
        <v>15</v>
      </c>
      <c r="H9" s="15" t="s">
        <v>17</v>
      </c>
      <c r="I9" s="15" t="s">
        <v>74</v>
      </c>
      <c r="J9" s="16">
        <v>45580</v>
      </c>
    </row>
    <row r="10" spans="1:10" x14ac:dyDescent="0.3">
      <c r="A10" s="16">
        <v>45446</v>
      </c>
      <c r="B10" s="15">
        <v>67257</v>
      </c>
      <c r="C10" s="14" t="s">
        <v>82</v>
      </c>
      <c r="D10" s="15" t="s">
        <v>397</v>
      </c>
      <c r="E10" s="15">
        <v>10</v>
      </c>
      <c r="F10" s="15">
        <v>7</v>
      </c>
      <c r="G10" s="15" t="s">
        <v>15</v>
      </c>
      <c r="H10" s="15" t="s">
        <v>17</v>
      </c>
      <c r="I10" s="15" t="s">
        <v>74</v>
      </c>
      <c r="J10" s="16">
        <v>45461</v>
      </c>
    </row>
    <row r="11" spans="1:10" x14ac:dyDescent="0.3">
      <c r="A11" s="16">
        <v>45447</v>
      </c>
      <c r="B11" s="15">
        <v>67315</v>
      </c>
      <c r="C11" s="14" t="s">
        <v>82</v>
      </c>
      <c r="D11" s="15" t="s">
        <v>399</v>
      </c>
      <c r="E11" s="15">
        <v>10</v>
      </c>
      <c r="F11" s="15">
        <v>7</v>
      </c>
      <c r="G11" s="15" t="s">
        <v>15</v>
      </c>
      <c r="H11" s="15" t="s">
        <v>17</v>
      </c>
      <c r="I11" s="15" t="s">
        <v>74</v>
      </c>
      <c r="J11" s="16">
        <v>45468</v>
      </c>
    </row>
    <row r="12" spans="1:10" x14ac:dyDescent="0.3">
      <c r="A12" s="16">
        <v>45770</v>
      </c>
      <c r="B12" s="15" t="s">
        <v>86</v>
      </c>
      <c r="C12" s="14" t="s">
        <v>16</v>
      </c>
      <c r="D12" s="15" t="s">
        <v>390</v>
      </c>
      <c r="E12" s="15">
        <v>10</v>
      </c>
      <c r="F12" s="15">
        <v>8</v>
      </c>
      <c r="G12" s="15" t="s">
        <v>15</v>
      </c>
      <c r="H12" s="15" t="s">
        <v>72</v>
      </c>
      <c r="I12" s="15" t="s">
        <v>74</v>
      </c>
      <c r="J12" s="16">
        <v>45772</v>
      </c>
    </row>
    <row r="13" spans="1:10" x14ac:dyDescent="0.3">
      <c r="A13" s="16">
        <v>45384</v>
      </c>
      <c r="B13" s="15">
        <v>66159</v>
      </c>
      <c r="C13" s="14" t="s">
        <v>81</v>
      </c>
      <c r="D13" s="15" t="s">
        <v>373</v>
      </c>
      <c r="E13" s="15">
        <v>10</v>
      </c>
      <c r="F13" s="15">
        <v>58</v>
      </c>
      <c r="G13" s="15" t="s">
        <v>15</v>
      </c>
      <c r="H13" s="15" t="s">
        <v>17</v>
      </c>
      <c r="I13" s="15" t="s">
        <v>74</v>
      </c>
      <c r="J13" s="16">
        <v>45512</v>
      </c>
    </row>
    <row r="14" spans="1:10" x14ac:dyDescent="0.3">
      <c r="A14" s="16">
        <v>45384</v>
      </c>
      <c r="B14" s="15">
        <v>66159</v>
      </c>
      <c r="C14" s="14" t="s">
        <v>81</v>
      </c>
      <c r="D14" s="15" t="s">
        <v>373</v>
      </c>
      <c r="E14" s="15">
        <v>10</v>
      </c>
      <c r="F14" s="15">
        <v>77</v>
      </c>
      <c r="G14" s="15" t="s">
        <v>15</v>
      </c>
      <c r="H14" s="15" t="s">
        <v>17</v>
      </c>
      <c r="I14" s="15" t="s">
        <v>74</v>
      </c>
      <c r="J14" s="16">
        <v>45512</v>
      </c>
    </row>
    <row r="15" spans="1:10" x14ac:dyDescent="0.3">
      <c r="A15" s="16">
        <v>45384</v>
      </c>
      <c r="B15" s="15">
        <v>66159</v>
      </c>
      <c r="C15" s="14" t="s">
        <v>81</v>
      </c>
      <c r="D15" s="15" t="s">
        <v>373</v>
      </c>
      <c r="E15" s="15">
        <v>10</v>
      </c>
      <c r="F15" s="15">
        <v>84</v>
      </c>
      <c r="G15" s="15" t="s">
        <v>15</v>
      </c>
      <c r="H15" s="15" t="s">
        <v>17</v>
      </c>
      <c r="I15" s="15" t="s">
        <v>74</v>
      </c>
      <c r="J15" s="16">
        <v>45512</v>
      </c>
    </row>
    <row r="16" spans="1:10" x14ac:dyDescent="0.3">
      <c r="A16" s="16">
        <v>45770</v>
      </c>
      <c r="B16" s="15" t="s">
        <v>86</v>
      </c>
      <c r="C16" s="14" t="s">
        <v>16</v>
      </c>
      <c r="D16" s="15" t="s">
        <v>390</v>
      </c>
      <c r="E16" s="15">
        <v>10</v>
      </c>
      <c r="F16" s="15">
        <v>9</v>
      </c>
      <c r="G16" s="15" t="s">
        <v>15</v>
      </c>
      <c r="H16" s="15" t="s">
        <v>72</v>
      </c>
      <c r="I16" s="15" t="s">
        <v>74</v>
      </c>
      <c r="J16" s="16">
        <v>45772</v>
      </c>
    </row>
    <row r="17" spans="1:10" x14ac:dyDescent="0.3">
      <c r="A17" s="16">
        <v>45384</v>
      </c>
      <c r="B17" s="15">
        <v>66159</v>
      </c>
      <c r="C17" s="14" t="s">
        <v>81</v>
      </c>
      <c r="D17" s="15" t="s">
        <v>373</v>
      </c>
      <c r="E17" s="15">
        <v>10</v>
      </c>
      <c r="F17" s="15">
        <v>10</v>
      </c>
      <c r="G17" s="15" t="s">
        <v>15</v>
      </c>
      <c r="H17" s="15" t="s">
        <v>17</v>
      </c>
      <c r="I17" s="15" t="s">
        <v>74</v>
      </c>
      <c r="J17" s="16">
        <v>45512</v>
      </c>
    </row>
    <row r="18" spans="1:10" x14ac:dyDescent="0.3">
      <c r="A18" s="16">
        <v>45391</v>
      </c>
      <c r="B18" s="15">
        <v>66160</v>
      </c>
      <c r="C18" s="14" t="s">
        <v>73</v>
      </c>
      <c r="D18" s="15" t="s">
        <v>374</v>
      </c>
      <c r="E18" s="15">
        <v>142</v>
      </c>
      <c r="F18" s="15" t="s">
        <v>86</v>
      </c>
      <c r="G18" s="15" t="s">
        <v>15</v>
      </c>
      <c r="H18" s="15" t="s">
        <v>17</v>
      </c>
      <c r="I18" s="15" t="s">
        <v>74</v>
      </c>
      <c r="J18" s="16">
        <v>45593</v>
      </c>
    </row>
    <row r="19" spans="1:10" x14ac:dyDescent="0.3">
      <c r="A19" s="16">
        <v>45608</v>
      </c>
      <c r="B19" s="15" t="s">
        <v>86</v>
      </c>
      <c r="C19" s="14" t="s">
        <v>16</v>
      </c>
      <c r="D19" s="15" t="s">
        <v>376</v>
      </c>
      <c r="E19" s="15">
        <v>10</v>
      </c>
      <c r="F19" s="15">
        <v>10</v>
      </c>
      <c r="G19" s="15" t="s">
        <v>15</v>
      </c>
      <c r="H19" s="15" t="s">
        <v>71</v>
      </c>
      <c r="I19" s="15" t="s">
        <v>18</v>
      </c>
      <c r="J19" s="16">
        <v>45635</v>
      </c>
    </row>
    <row r="20" spans="1:10" x14ac:dyDescent="0.3">
      <c r="A20" s="16">
        <v>45408</v>
      </c>
      <c r="B20" s="15">
        <v>66434</v>
      </c>
      <c r="C20" s="14" t="s">
        <v>73</v>
      </c>
      <c r="D20" s="15" t="s">
        <v>375</v>
      </c>
      <c r="E20" s="15">
        <v>10</v>
      </c>
      <c r="F20" s="15">
        <v>67</v>
      </c>
      <c r="G20" s="15" t="s">
        <v>15</v>
      </c>
      <c r="H20" s="15" t="s">
        <v>17</v>
      </c>
      <c r="I20" s="15" t="s">
        <v>74</v>
      </c>
      <c r="J20" s="16">
        <v>45519</v>
      </c>
    </row>
    <row r="21" spans="1:10" x14ac:dyDescent="0.3">
      <c r="A21" s="16">
        <v>45408</v>
      </c>
      <c r="B21" s="15">
        <v>66934</v>
      </c>
      <c r="C21" s="14" t="s">
        <v>16</v>
      </c>
      <c r="D21" s="15" t="s">
        <v>376</v>
      </c>
      <c r="E21" s="15">
        <v>10</v>
      </c>
      <c r="F21" s="15">
        <v>1</v>
      </c>
      <c r="G21" s="15" t="s">
        <v>15</v>
      </c>
      <c r="H21" s="15" t="s">
        <v>17</v>
      </c>
      <c r="I21" s="15" t="s">
        <v>74</v>
      </c>
      <c r="J21" s="16">
        <v>45568</v>
      </c>
    </row>
    <row r="22" spans="1:10" x14ac:dyDescent="0.3">
      <c r="A22" s="16">
        <v>45408</v>
      </c>
      <c r="B22" s="15">
        <v>66934</v>
      </c>
      <c r="C22" s="14" t="s">
        <v>16</v>
      </c>
      <c r="D22" s="15" t="s">
        <v>376</v>
      </c>
      <c r="E22" s="15">
        <v>10</v>
      </c>
      <c r="F22" s="15">
        <v>2</v>
      </c>
      <c r="G22" s="15" t="s">
        <v>15</v>
      </c>
      <c r="H22" s="15" t="s">
        <v>17</v>
      </c>
      <c r="I22" s="15" t="s">
        <v>74</v>
      </c>
      <c r="J22" s="16">
        <v>45568</v>
      </c>
    </row>
    <row r="23" spans="1:10" x14ac:dyDescent="0.3">
      <c r="A23" s="16">
        <v>45408</v>
      </c>
      <c r="B23" s="15">
        <v>66934</v>
      </c>
      <c r="C23" s="14" t="s">
        <v>16</v>
      </c>
      <c r="D23" s="15" t="s">
        <v>376</v>
      </c>
      <c r="E23" s="15">
        <v>10</v>
      </c>
      <c r="F23" s="15">
        <v>3</v>
      </c>
      <c r="G23" s="15" t="s">
        <v>15</v>
      </c>
      <c r="H23" s="15" t="s">
        <v>17</v>
      </c>
      <c r="I23" s="15" t="s">
        <v>74</v>
      </c>
      <c r="J23" s="16">
        <v>45568</v>
      </c>
    </row>
    <row r="24" spans="1:10" x14ac:dyDescent="0.3">
      <c r="A24" s="16">
        <v>45408</v>
      </c>
      <c r="B24" s="15">
        <v>66934</v>
      </c>
      <c r="C24" s="14" t="s">
        <v>16</v>
      </c>
      <c r="D24" s="15" t="s">
        <v>376</v>
      </c>
      <c r="E24" s="15">
        <v>10</v>
      </c>
      <c r="F24" s="15">
        <v>4</v>
      </c>
      <c r="G24" s="15" t="s">
        <v>15</v>
      </c>
      <c r="H24" s="15" t="s">
        <v>17</v>
      </c>
      <c r="I24" s="15" t="s">
        <v>74</v>
      </c>
      <c r="J24" s="16">
        <v>45568</v>
      </c>
    </row>
    <row r="25" spans="1:10" x14ac:dyDescent="0.3">
      <c r="A25" s="16">
        <v>45408</v>
      </c>
      <c r="B25" s="15">
        <v>66934</v>
      </c>
      <c r="C25" s="14" t="s">
        <v>16</v>
      </c>
      <c r="D25" s="15" t="s">
        <v>376</v>
      </c>
      <c r="E25" s="15">
        <v>10</v>
      </c>
      <c r="F25" s="15">
        <v>5</v>
      </c>
      <c r="G25" s="15" t="s">
        <v>15</v>
      </c>
      <c r="H25" s="15" t="s">
        <v>17</v>
      </c>
      <c r="I25" s="15" t="s">
        <v>74</v>
      </c>
      <c r="J25" s="16">
        <v>45568</v>
      </c>
    </row>
    <row r="26" spans="1:10" x14ac:dyDescent="0.3">
      <c r="A26" s="16">
        <v>45770</v>
      </c>
      <c r="B26" s="15" t="s">
        <v>86</v>
      </c>
      <c r="C26" s="14" t="s">
        <v>16</v>
      </c>
      <c r="D26" s="15" t="s">
        <v>390</v>
      </c>
      <c r="E26" s="15">
        <v>10</v>
      </c>
      <c r="F26" s="15">
        <v>10</v>
      </c>
      <c r="G26" s="15" t="s">
        <v>15</v>
      </c>
      <c r="H26" s="15" t="s">
        <v>72</v>
      </c>
      <c r="I26" s="15" t="s">
        <v>74</v>
      </c>
      <c r="J26" s="16">
        <v>45772</v>
      </c>
    </row>
    <row r="27" spans="1:10" x14ac:dyDescent="0.3">
      <c r="A27" s="16">
        <v>45384</v>
      </c>
      <c r="B27" s="15">
        <v>66159</v>
      </c>
      <c r="C27" s="14" t="s">
        <v>81</v>
      </c>
      <c r="D27" s="15" t="s">
        <v>373</v>
      </c>
      <c r="E27" s="15">
        <v>10</v>
      </c>
      <c r="F27" s="15">
        <v>11</v>
      </c>
      <c r="G27" s="15" t="s">
        <v>15</v>
      </c>
      <c r="H27" s="15" t="s">
        <v>17</v>
      </c>
      <c r="I27" s="15" t="s">
        <v>74</v>
      </c>
      <c r="J27" s="16">
        <v>45512</v>
      </c>
    </row>
    <row r="28" spans="1:10" x14ac:dyDescent="0.3">
      <c r="A28" s="16">
        <v>45408</v>
      </c>
      <c r="B28" s="15">
        <v>66934</v>
      </c>
      <c r="C28" s="14" t="s">
        <v>16</v>
      </c>
      <c r="D28" s="15" t="s">
        <v>376</v>
      </c>
      <c r="E28" s="15">
        <v>10</v>
      </c>
      <c r="F28" s="15">
        <v>11</v>
      </c>
      <c r="G28" s="15" t="s">
        <v>15</v>
      </c>
      <c r="H28" s="15" t="s">
        <v>17</v>
      </c>
      <c r="I28" s="15" t="s">
        <v>74</v>
      </c>
      <c r="J28" s="16">
        <v>45568</v>
      </c>
    </row>
    <row r="29" spans="1:10" x14ac:dyDescent="0.3">
      <c r="A29" s="16">
        <v>45425</v>
      </c>
      <c r="B29" s="15">
        <v>66932</v>
      </c>
      <c r="C29" s="14" t="s">
        <v>73</v>
      </c>
      <c r="D29" s="15" t="s">
        <v>382</v>
      </c>
      <c r="E29" s="15">
        <v>10</v>
      </c>
      <c r="F29" s="15">
        <v>14</v>
      </c>
      <c r="G29" s="15" t="s">
        <v>15</v>
      </c>
      <c r="H29" s="15" t="s">
        <v>17</v>
      </c>
      <c r="I29" s="15" t="s">
        <v>74</v>
      </c>
      <c r="J29" s="16">
        <v>45597</v>
      </c>
    </row>
    <row r="30" spans="1:10" x14ac:dyDescent="0.3">
      <c r="A30" s="16">
        <v>45408</v>
      </c>
      <c r="B30" s="15">
        <v>66934</v>
      </c>
      <c r="C30" s="14" t="s">
        <v>16</v>
      </c>
      <c r="D30" s="15" t="s">
        <v>376</v>
      </c>
      <c r="E30" s="15">
        <v>10</v>
      </c>
      <c r="F30" s="15">
        <v>15</v>
      </c>
      <c r="G30" s="15" t="s">
        <v>15</v>
      </c>
      <c r="H30" s="15" t="s">
        <v>17</v>
      </c>
      <c r="I30" s="15" t="s">
        <v>74</v>
      </c>
      <c r="J30" s="16">
        <v>45568</v>
      </c>
    </row>
    <row r="31" spans="1:10" x14ac:dyDescent="0.3">
      <c r="A31" s="16">
        <v>45619</v>
      </c>
      <c r="B31" s="15" t="s">
        <v>86</v>
      </c>
      <c r="C31" s="14" t="s">
        <v>81</v>
      </c>
      <c r="D31" s="15" t="s">
        <v>377</v>
      </c>
      <c r="E31" s="15">
        <v>10</v>
      </c>
      <c r="F31" s="15">
        <v>15</v>
      </c>
      <c r="G31" s="15" t="s">
        <v>15</v>
      </c>
      <c r="H31" s="15" t="s">
        <v>71</v>
      </c>
      <c r="I31" s="15" t="s">
        <v>18</v>
      </c>
      <c r="J31" s="16">
        <v>45639</v>
      </c>
    </row>
    <row r="32" spans="1:10" x14ac:dyDescent="0.3">
      <c r="A32" s="16">
        <v>45384</v>
      </c>
      <c r="B32" s="15">
        <v>66159</v>
      </c>
      <c r="C32" s="14" t="s">
        <v>81</v>
      </c>
      <c r="D32" s="15" t="s">
        <v>373</v>
      </c>
      <c r="E32" s="15">
        <v>10</v>
      </c>
      <c r="F32" s="15">
        <v>17</v>
      </c>
      <c r="G32" s="15" t="s">
        <v>15</v>
      </c>
      <c r="H32" s="15" t="s">
        <v>17</v>
      </c>
      <c r="I32" s="15" t="s">
        <v>74</v>
      </c>
      <c r="J32" s="16">
        <v>45512</v>
      </c>
    </row>
    <row r="33" spans="1:10" x14ac:dyDescent="0.3">
      <c r="A33" s="16">
        <v>45408</v>
      </c>
      <c r="B33" s="15">
        <v>66934</v>
      </c>
      <c r="C33" s="14" t="s">
        <v>16</v>
      </c>
      <c r="D33" s="15" t="s">
        <v>376</v>
      </c>
      <c r="E33" s="15">
        <v>10</v>
      </c>
      <c r="F33" s="15">
        <v>17</v>
      </c>
      <c r="G33" s="15" t="s">
        <v>15</v>
      </c>
      <c r="H33" s="15" t="s">
        <v>17</v>
      </c>
      <c r="I33" s="15" t="s">
        <v>74</v>
      </c>
      <c r="J33" s="16">
        <v>45568</v>
      </c>
    </row>
    <row r="34" spans="1:10" x14ac:dyDescent="0.3">
      <c r="A34" s="16">
        <v>45408</v>
      </c>
      <c r="B34" s="15">
        <v>66934</v>
      </c>
      <c r="C34" s="14" t="s">
        <v>16</v>
      </c>
      <c r="D34" s="15" t="s">
        <v>376</v>
      </c>
      <c r="E34" s="15">
        <v>10</v>
      </c>
      <c r="F34" s="15">
        <v>114</v>
      </c>
      <c r="G34" s="15" t="s">
        <v>15</v>
      </c>
      <c r="H34" s="15" t="s">
        <v>17</v>
      </c>
      <c r="I34" s="15" t="s">
        <v>74</v>
      </c>
      <c r="J34" s="16">
        <v>45568</v>
      </c>
    </row>
    <row r="35" spans="1:10" x14ac:dyDescent="0.3">
      <c r="A35" s="16">
        <v>45408</v>
      </c>
      <c r="B35" s="15">
        <v>66934</v>
      </c>
      <c r="C35" s="14" t="s">
        <v>16</v>
      </c>
      <c r="D35" s="15" t="s">
        <v>376</v>
      </c>
      <c r="E35" s="15">
        <v>10</v>
      </c>
      <c r="F35" s="15">
        <v>115</v>
      </c>
      <c r="G35" s="15" t="s">
        <v>15</v>
      </c>
      <c r="H35" s="15" t="s">
        <v>17</v>
      </c>
      <c r="I35" s="15" t="s">
        <v>74</v>
      </c>
      <c r="J35" s="16">
        <v>45568</v>
      </c>
    </row>
    <row r="36" spans="1:10" x14ac:dyDescent="0.3">
      <c r="A36" s="16">
        <v>45408</v>
      </c>
      <c r="B36" s="15">
        <v>66934</v>
      </c>
      <c r="C36" s="14" t="s">
        <v>16</v>
      </c>
      <c r="D36" s="15" t="s">
        <v>376</v>
      </c>
      <c r="E36" s="15">
        <v>10</v>
      </c>
      <c r="F36" s="15">
        <v>116</v>
      </c>
      <c r="G36" s="15" t="s">
        <v>15</v>
      </c>
      <c r="H36" s="15" t="s">
        <v>17</v>
      </c>
      <c r="I36" s="15" t="s">
        <v>74</v>
      </c>
      <c r="J36" s="16">
        <v>45568</v>
      </c>
    </row>
    <row r="37" spans="1:10" x14ac:dyDescent="0.3">
      <c r="A37" s="16">
        <v>45408</v>
      </c>
      <c r="B37" s="15">
        <v>66934</v>
      </c>
      <c r="C37" s="14" t="s">
        <v>16</v>
      </c>
      <c r="D37" s="15" t="s">
        <v>376</v>
      </c>
      <c r="E37" s="15">
        <v>10</v>
      </c>
      <c r="F37" s="15">
        <v>117</v>
      </c>
      <c r="G37" s="15" t="s">
        <v>15</v>
      </c>
      <c r="H37" s="15" t="s">
        <v>17</v>
      </c>
      <c r="I37" s="15" t="s">
        <v>74</v>
      </c>
      <c r="J37" s="16">
        <v>45568</v>
      </c>
    </row>
    <row r="38" spans="1:10" x14ac:dyDescent="0.3">
      <c r="A38" s="16">
        <v>45408</v>
      </c>
      <c r="B38" s="15">
        <v>66934</v>
      </c>
      <c r="C38" s="14" t="s">
        <v>16</v>
      </c>
      <c r="D38" s="15" t="s">
        <v>376</v>
      </c>
      <c r="E38" s="15">
        <v>10</v>
      </c>
      <c r="F38" s="15">
        <v>118</v>
      </c>
      <c r="G38" s="15" t="s">
        <v>15</v>
      </c>
      <c r="H38" s="15" t="s">
        <v>17</v>
      </c>
      <c r="I38" s="15" t="s">
        <v>74</v>
      </c>
      <c r="J38" s="16">
        <v>45568</v>
      </c>
    </row>
    <row r="39" spans="1:10" x14ac:dyDescent="0.3">
      <c r="A39" s="16">
        <v>45408</v>
      </c>
      <c r="B39" s="15">
        <v>66934</v>
      </c>
      <c r="C39" s="14" t="s">
        <v>16</v>
      </c>
      <c r="D39" s="15" t="s">
        <v>376</v>
      </c>
      <c r="E39" s="15">
        <v>10</v>
      </c>
      <c r="F39" s="15">
        <v>119</v>
      </c>
      <c r="G39" s="15" t="s">
        <v>15</v>
      </c>
      <c r="H39" s="15" t="s">
        <v>17</v>
      </c>
      <c r="I39" s="15" t="s">
        <v>74</v>
      </c>
      <c r="J39" s="16">
        <v>45568</v>
      </c>
    </row>
    <row r="40" spans="1:10" x14ac:dyDescent="0.3">
      <c r="A40" s="16">
        <v>45408</v>
      </c>
      <c r="B40" s="15">
        <v>66934</v>
      </c>
      <c r="C40" s="14" t="s">
        <v>16</v>
      </c>
      <c r="D40" s="15" t="s">
        <v>376</v>
      </c>
      <c r="E40" s="15">
        <v>10</v>
      </c>
      <c r="F40" s="15">
        <v>120</v>
      </c>
      <c r="G40" s="15" t="s">
        <v>15</v>
      </c>
      <c r="H40" s="15" t="s">
        <v>17</v>
      </c>
      <c r="I40" s="15" t="s">
        <v>74</v>
      </c>
      <c r="J40" s="16">
        <v>45568</v>
      </c>
    </row>
    <row r="41" spans="1:10" x14ac:dyDescent="0.3">
      <c r="A41" s="16">
        <v>45408</v>
      </c>
      <c r="B41" s="15">
        <v>66934</v>
      </c>
      <c r="C41" s="14" t="s">
        <v>16</v>
      </c>
      <c r="D41" s="15" t="s">
        <v>376</v>
      </c>
      <c r="E41" s="15">
        <v>10</v>
      </c>
      <c r="F41" s="15">
        <v>18</v>
      </c>
      <c r="G41" s="15" t="s">
        <v>15</v>
      </c>
      <c r="H41" s="15" t="s">
        <v>17</v>
      </c>
      <c r="I41" s="15" t="s">
        <v>74</v>
      </c>
      <c r="J41" s="16">
        <v>45568</v>
      </c>
    </row>
    <row r="42" spans="1:10" x14ac:dyDescent="0.3">
      <c r="A42" s="16">
        <v>45420</v>
      </c>
      <c r="B42" s="15">
        <v>66931</v>
      </c>
      <c r="C42" s="14" t="s">
        <v>82</v>
      </c>
      <c r="D42" s="15" t="s">
        <v>378</v>
      </c>
      <c r="E42" s="15">
        <v>10</v>
      </c>
      <c r="F42" s="15">
        <v>18</v>
      </c>
      <c r="G42" s="15" t="s">
        <v>15</v>
      </c>
      <c r="H42" s="15" t="s">
        <v>17</v>
      </c>
      <c r="I42" s="15" t="s">
        <v>74</v>
      </c>
      <c r="J42" s="16">
        <v>45478</v>
      </c>
    </row>
    <row r="43" spans="1:10" x14ac:dyDescent="0.3">
      <c r="A43" s="16">
        <v>45415</v>
      </c>
      <c r="B43" s="15">
        <v>66933</v>
      </c>
      <c r="C43" s="14" t="s">
        <v>81</v>
      </c>
      <c r="D43" s="15" t="s">
        <v>377</v>
      </c>
      <c r="E43" s="15">
        <v>10</v>
      </c>
      <c r="F43" s="15">
        <v>64</v>
      </c>
      <c r="G43" s="15" t="s">
        <v>15</v>
      </c>
      <c r="H43" s="15" t="s">
        <v>17</v>
      </c>
      <c r="I43" s="15" t="s">
        <v>74</v>
      </c>
      <c r="J43" s="16">
        <v>45558</v>
      </c>
    </row>
    <row r="44" spans="1:10" x14ac:dyDescent="0.3">
      <c r="A44" s="16">
        <v>45415</v>
      </c>
      <c r="B44" s="15">
        <v>66933</v>
      </c>
      <c r="C44" s="14" t="s">
        <v>81</v>
      </c>
      <c r="D44" s="15" t="s">
        <v>377</v>
      </c>
      <c r="E44" s="15">
        <v>10</v>
      </c>
      <c r="F44" s="15">
        <v>65</v>
      </c>
      <c r="G44" s="15" t="s">
        <v>15</v>
      </c>
      <c r="H44" s="15" t="s">
        <v>17</v>
      </c>
      <c r="I44" s="15" t="s">
        <v>74</v>
      </c>
      <c r="J44" s="16">
        <v>45558</v>
      </c>
    </row>
    <row r="45" spans="1:10" x14ac:dyDescent="0.3">
      <c r="A45" s="16">
        <v>45415</v>
      </c>
      <c r="B45" s="15">
        <v>66933</v>
      </c>
      <c r="C45" s="14" t="s">
        <v>81</v>
      </c>
      <c r="D45" s="15" t="s">
        <v>377</v>
      </c>
      <c r="E45" s="15">
        <v>10</v>
      </c>
      <c r="F45" s="15">
        <v>67</v>
      </c>
      <c r="G45" s="15" t="s">
        <v>15</v>
      </c>
      <c r="H45" s="15" t="s">
        <v>17</v>
      </c>
      <c r="I45" s="15" t="s">
        <v>74</v>
      </c>
      <c r="J45" s="16">
        <v>45558</v>
      </c>
    </row>
    <row r="46" spans="1:10" x14ac:dyDescent="0.3">
      <c r="A46" s="16">
        <v>45415</v>
      </c>
      <c r="B46" s="15">
        <v>66933</v>
      </c>
      <c r="C46" s="14" t="s">
        <v>81</v>
      </c>
      <c r="D46" s="15" t="s">
        <v>377</v>
      </c>
      <c r="E46" s="15">
        <v>10</v>
      </c>
      <c r="F46" s="15">
        <v>69</v>
      </c>
      <c r="G46" s="15" t="s">
        <v>15</v>
      </c>
      <c r="H46" s="15" t="s">
        <v>17</v>
      </c>
      <c r="I46" s="15" t="s">
        <v>74</v>
      </c>
      <c r="J46" s="16">
        <v>45558</v>
      </c>
    </row>
    <row r="47" spans="1:10" x14ac:dyDescent="0.3">
      <c r="A47" s="16">
        <v>45415</v>
      </c>
      <c r="B47" s="15">
        <v>66933</v>
      </c>
      <c r="C47" s="14" t="s">
        <v>81</v>
      </c>
      <c r="D47" s="15" t="s">
        <v>377</v>
      </c>
      <c r="E47" s="15">
        <v>10</v>
      </c>
      <c r="F47" s="15">
        <v>70</v>
      </c>
      <c r="G47" s="15" t="s">
        <v>15</v>
      </c>
      <c r="H47" s="15" t="s">
        <v>17</v>
      </c>
      <c r="I47" s="15" t="s">
        <v>74</v>
      </c>
      <c r="J47" s="16">
        <v>45558</v>
      </c>
    </row>
    <row r="48" spans="1:10" x14ac:dyDescent="0.3">
      <c r="A48" s="16">
        <v>45415</v>
      </c>
      <c r="B48" s="15">
        <v>66933</v>
      </c>
      <c r="C48" s="14" t="s">
        <v>81</v>
      </c>
      <c r="D48" s="15" t="s">
        <v>377</v>
      </c>
      <c r="E48" s="15">
        <v>10</v>
      </c>
      <c r="F48" s="15">
        <v>71</v>
      </c>
      <c r="G48" s="15" t="s">
        <v>15</v>
      </c>
      <c r="H48" s="15" t="s">
        <v>17</v>
      </c>
      <c r="I48" s="15" t="s">
        <v>74</v>
      </c>
      <c r="J48" s="16">
        <v>45558</v>
      </c>
    </row>
    <row r="49" spans="1:10" x14ac:dyDescent="0.3">
      <c r="A49" s="16">
        <v>45415</v>
      </c>
      <c r="B49" s="15">
        <v>66933</v>
      </c>
      <c r="C49" s="14" t="s">
        <v>81</v>
      </c>
      <c r="D49" s="15" t="s">
        <v>377</v>
      </c>
      <c r="E49" s="15">
        <v>10</v>
      </c>
      <c r="F49" s="15">
        <v>74</v>
      </c>
      <c r="G49" s="15" t="s">
        <v>15</v>
      </c>
      <c r="H49" s="15" t="s">
        <v>17</v>
      </c>
      <c r="I49" s="15" t="s">
        <v>74</v>
      </c>
      <c r="J49" s="16">
        <v>45558</v>
      </c>
    </row>
    <row r="50" spans="1:10" x14ac:dyDescent="0.3">
      <c r="A50" s="16">
        <v>45415</v>
      </c>
      <c r="B50" s="15">
        <v>66933</v>
      </c>
      <c r="C50" s="14" t="s">
        <v>81</v>
      </c>
      <c r="D50" s="15" t="s">
        <v>377</v>
      </c>
      <c r="E50" s="15">
        <v>10</v>
      </c>
      <c r="F50" s="15">
        <v>75</v>
      </c>
      <c r="G50" s="15" t="s">
        <v>15</v>
      </c>
      <c r="H50" s="15" t="s">
        <v>17</v>
      </c>
      <c r="I50" s="15" t="s">
        <v>74</v>
      </c>
      <c r="J50" s="16">
        <v>45558</v>
      </c>
    </row>
    <row r="51" spans="1:10" x14ac:dyDescent="0.3">
      <c r="A51" s="16">
        <v>45415</v>
      </c>
      <c r="B51" s="15">
        <v>66933</v>
      </c>
      <c r="C51" s="14" t="s">
        <v>81</v>
      </c>
      <c r="D51" s="15" t="s">
        <v>377</v>
      </c>
      <c r="E51" s="15">
        <v>10</v>
      </c>
      <c r="F51" s="15">
        <v>76</v>
      </c>
      <c r="G51" s="15" t="s">
        <v>15</v>
      </c>
      <c r="H51" s="15" t="s">
        <v>17</v>
      </c>
      <c r="I51" s="15" t="s">
        <v>74</v>
      </c>
      <c r="J51" s="16">
        <v>45558</v>
      </c>
    </row>
    <row r="52" spans="1:10" x14ac:dyDescent="0.3">
      <c r="A52" s="16">
        <v>45415</v>
      </c>
      <c r="B52" s="15">
        <v>66933</v>
      </c>
      <c r="C52" s="14" t="s">
        <v>81</v>
      </c>
      <c r="D52" s="15" t="s">
        <v>377</v>
      </c>
      <c r="E52" s="15">
        <v>10</v>
      </c>
      <c r="F52" s="15">
        <v>77</v>
      </c>
      <c r="G52" s="15" t="s">
        <v>15</v>
      </c>
      <c r="H52" s="15" t="s">
        <v>17</v>
      </c>
      <c r="I52" s="15" t="s">
        <v>74</v>
      </c>
      <c r="J52" s="16">
        <v>45558</v>
      </c>
    </row>
    <row r="53" spans="1:10" x14ac:dyDescent="0.3">
      <c r="A53" s="16">
        <v>45415</v>
      </c>
      <c r="B53" s="15">
        <v>66933</v>
      </c>
      <c r="C53" s="14" t="s">
        <v>81</v>
      </c>
      <c r="D53" s="15" t="s">
        <v>377</v>
      </c>
      <c r="E53" s="15">
        <v>10</v>
      </c>
      <c r="F53" s="15">
        <v>78</v>
      </c>
      <c r="G53" s="15" t="s">
        <v>15</v>
      </c>
      <c r="H53" s="15" t="s">
        <v>17</v>
      </c>
      <c r="I53" s="15" t="s">
        <v>74</v>
      </c>
      <c r="J53" s="16">
        <v>45558</v>
      </c>
    </row>
    <row r="54" spans="1:10" x14ac:dyDescent="0.3">
      <c r="A54" s="16">
        <v>45415</v>
      </c>
      <c r="B54" s="15">
        <v>66933</v>
      </c>
      <c r="C54" s="14" t="s">
        <v>81</v>
      </c>
      <c r="D54" s="15" t="s">
        <v>377</v>
      </c>
      <c r="E54" s="15">
        <v>10</v>
      </c>
      <c r="F54" s="15">
        <v>81</v>
      </c>
      <c r="G54" s="15" t="s">
        <v>15</v>
      </c>
      <c r="H54" s="15" t="s">
        <v>17</v>
      </c>
      <c r="I54" s="15" t="s">
        <v>74</v>
      </c>
      <c r="J54" s="16">
        <v>45558</v>
      </c>
    </row>
    <row r="55" spans="1:10" x14ac:dyDescent="0.3">
      <c r="A55" s="16">
        <v>45415</v>
      </c>
      <c r="B55" s="15">
        <v>66933</v>
      </c>
      <c r="C55" s="14" t="s">
        <v>81</v>
      </c>
      <c r="D55" s="15" t="s">
        <v>377</v>
      </c>
      <c r="E55" s="15">
        <v>10</v>
      </c>
      <c r="F55" s="15">
        <v>82</v>
      </c>
      <c r="G55" s="15" t="s">
        <v>15</v>
      </c>
      <c r="H55" s="15" t="s">
        <v>17</v>
      </c>
      <c r="I55" s="15" t="s">
        <v>74</v>
      </c>
      <c r="J55" s="16">
        <v>45558</v>
      </c>
    </row>
    <row r="56" spans="1:10" x14ac:dyDescent="0.3">
      <c r="A56" s="16">
        <v>45415</v>
      </c>
      <c r="B56" s="15">
        <v>66933</v>
      </c>
      <c r="C56" s="14" t="s">
        <v>81</v>
      </c>
      <c r="D56" s="15" t="s">
        <v>377</v>
      </c>
      <c r="E56" s="15">
        <v>10</v>
      </c>
      <c r="F56" s="15">
        <v>83</v>
      </c>
      <c r="G56" s="15" t="s">
        <v>15</v>
      </c>
      <c r="H56" s="15" t="s">
        <v>17</v>
      </c>
      <c r="I56" s="15" t="s">
        <v>74</v>
      </c>
      <c r="J56" s="16">
        <v>45558</v>
      </c>
    </row>
    <row r="57" spans="1:10" x14ac:dyDescent="0.3">
      <c r="A57" s="16">
        <v>45415</v>
      </c>
      <c r="B57" s="15">
        <v>66933</v>
      </c>
      <c r="C57" s="14" t="s">
        <v>81</v>
      </c>
      <c r="D57" s="15" t="s">
        <v>377</v>
      </c>
      <c r="E57" s="15">
        <v>10</v>
      </c>
      <c r="F57" s="15">
        <v>84</v>
      </c>
      <c r="G57" s="15" t="s">
        <v>15</v>
      </c>
      <c r="H57" s="15" t="s">
        <v>17</v>
      </c>
      <c r="I57" s="15" t="s">
        <v>74</v>
      </c>
      <c r="J57" s="16">
        <v>45558</v>
      </c>
    </row>
    <row r="58" spans="1:10" x14ac:dyDescent="0.3">
      <c r="A58" s="16">
        <v>45415</v>
      </c>
      <c r="B58" s="15">
        <v>66933</v>
      </c>
      <c r="C58" s="14" t="s">
        <v>81</v>
      </c>
      <c r="D58" s="15" t="s">
        <v>377</v>
      </c>
      <c r="E58" s="15">
        <v>10</v>
      </c>
      <c r="F58" s="15">
        <v>85</v>
      </c>
      <c r="G58" s="15" t="s">
        <v>15</v>
      </c>
      <c r="H58" s="15" t="s">
        <v>17</v>
      </c>
      <c r="I58" s="15" t="s">
        <v>74</v>
      </c>
      <c r="J58" s="16">
        <v>45558</v>
      </c>
    </row>
    <row r="59" spans="1:10" x14ac:dyDescent="0.3">
      <c r="A59" s="16">
        <v>45415</v>
      </c>
      <c r="B59" s="15">
        <v>66933</v>
      </c>
      <c r="C59" s="14" t="s">
        <v>81</v>
      </c>
      <c r="D59" s="15" t="s">
        <v>377</v>
      </c>
      <c r="E59" s="15">
        <v>10</v>
      </c>
      <c r="F59" s="15">
        <v>86</v>
      </c>
      <c r="G59" s="15" t="s">
        <v>15</v>
      </c>
      <c r="H59" s="15" t="s">
        <v>17</v>
      </c>
      <c r="I59" s="15" t="s">
        <v>74</v>
      </c>
      <c r="J59" s="16">
        <v>45558</v>
      </c>
    </row>
    <row r="60" spans="1:10" x14ac:dyDescent="0.3">
      <c r="A60" s="16">
        <v>45415</v>
      </c>
      <c r="B60" s="15">
        <v>66933</v>
      </c>
      <c r="C60" s="14" t="s">
        <v>81</v>
      </c>
      <c r="D60" s="15" t="s">
        <v>377</v>
      </c>
      <c r="E60" s="15">
        <v>10</v>
      </c>
      <c r="F60" s="15">
        <v>87</v>
      </c>
      <c r="G60" s="15" t="s">
        <v>15</v>
      </c>
      <c r="H60" s="15" t="s">
        <v>17</v>
      </c>
      <c r="I60" s="15" t="s">
        <v>74</v>
      </c>
      <c r="J60" s="16">
        <v>45558</v>
      </c>
    </row>
    <row r="61" spans="1:10" x14ac:dyDescent="0.3">
      <c r="A61" s="16">
        <v>45415</v>
      </c>
      <c r="B61" s="15">
        <v>66933</v>
      </c>
      <c r="C61" s="14" t="s">
        <v>81</v>
      </c>
      <c r="D61" s="15" t="s">
        <v>377</v>
      </c>
      <c r="E61" s="15">
        <v>10</v>
      </c>
      <c r="F61" s="15">
        <v>88</v>
      </c>
      <c r="G61" s="15" t="s">
        <v>15</v>
      </c>
      <c r="H61" s="15" t="s">
        <v>17</v>
      </c>
      <c r="I61" s="15" t="s">
        <v>74</v>
      </c>
      <c r="J61" s="16">
        <v>45558</v>
      </c>
    </row>
    <row r="62" spans="1:10" x14ac:dyDescent="0.3">
      <c r="A62" s="16">
        <v>45415</v>
      </c>
      <c r="B62" s="15">
        <v>66933</v>
      </c>
      <c r="C62" s="14" t="s">
        <v>81</v>
      </c>
      <c r="D62" s="15" t="s">
        <v>377</v>
      </c>
      <c r="E62" s="15">
        <v>10</v>
      </c>
      <c r="F62" s="15">
        <v>89</v>
      </c>
      <c r="G62" s="15" t="s">
        <v>15</v>
      </c>
      <c r="H62" s="15" t="s">
        <v>17</v>
      </c>
      <c r="I62" s="15" t="s">
        <v>74</v>
      </c>
      <c r="J62" s="16">
        <v>45558</v>
      </c>
    </row>
    <row r="63" spans="1:10" x14ac:dyDescent="0.3">
      <c r="A63" s="16">
        <v>45415</v>
      </c>
      <c r="B63" s="15">
        <v>66933</v>
      </c>
      <c r="C63" s="14" t="s">
        <v>81</v>
      </c>
      <c r="D63" s="15" t="s">
        <v>377</v>
      </c>
      <c r="E63" s="15">
        <v>10</v>
      </c>
      <c r="F63" s="15">
        <v>90</v>
      </c>
      <c r="G63" s="15" t="s">
        <v>15</v>
      </c>
      <c r="H63" s="15" t="s">
        <v>17</v>
      </c>
      <c r="I63" s="15" t="s">
        <v>74</v>
      </c>
      <c r="J63" s="16">
        <v>45558</v>
      </c>
    </row>
    <row r="64" spans="1:10" x14ac:dyDescent="0.3">
      <c r="A64" s="16">
        <v>45415</v>
      </c>
      <c r="B64" s="15">
        <v>66933</v>
      </c>
      <c r="C64" s="14" t="s">
        <v>81</v>
      </c>
      <c r="D64" s="15" t="s">
        <v>377</v>
      </c>
      <c r="E64" s="15">
        <v>10</v>
      </c>
      <c r="F64" s="15">
        <v>91</v>
      </c>
      <c r="G64" s="15" t="s">
        <v>15</v>
      </c>
      <c r="H64" s="15" t="s">
        <v>17</v>
      </c>
      <c r="I64" s="15" t="s">
        <v>74</v>
      </c>
      <c r="J64" s="16">
        <v>45558</v>
      </c>
    </row>
    <row r="65" spans="1:10" x14ac:dyDescent="0.3">
      <c r="A65" s="16">
        <v>45415</v>
      </c>
      <c r="B65" s="15">
        <v>66933</v>
      </c>
      <c r="C65" s="14" t="s">
        <v>81</v>
      </c>
      <c r="D65" s="15" t="s">
        <v>377</v>
      </c>
      <c r="E65" s="15">
        <v>10</v>
      </c>
      <c r="F65" s="15">
        <v>93</v>
      </c>
      <c r="G65" s="15" t="s">
        <v>15</v>
      </c>
      <c r="H65" s="15" t="s">
        <v>17</v>
      </c>
      <c r="I65" s="15" t="s">
        <v>74</v>
      </c>
      <c r="J65" s="16">
        <v>45558</v>
      </c>
    </row>
    <row r="66" spans="1:10" x14ac:dyDescent="0.3">
      <c r="A66" s="16">
        <v>45415</v>
      </c>
      <c r="B66" s="15">
        <v>66933</v>
      </c>
      <c r="C66" s="14" t="s">
        <v>81</v>
      </c>
      <c r="D66" s="15" t="s">
        <v>377</v>
      </c>
      <c r="E66" s="15">
        <v>10</v>
      </c>
      <c r="F66" s="15">
        <v>110</v>
      </c>
      <c r="G66" s="15" t="s">
        <v>15</v>
      </c>
      <c r="H66" s="15" t="s">
        <v>17</v>
      </c>
      <c r="I66" s="15" t="s">
        <v>74</v>
      </c>
      <c r="J66" s="16">
        <v>45558</v>
      </c>
    </row>
    <row r="67" spans="1:10" x14ac:dyDescent="0.3">
      <c r="A67" s="16">
        <v>45408</v>
      </c>
      <c r="B67" s="15">
        <v>66934</v>
      </c>
      <c r="C67" s="14" t="s">
        <v>16</v>
      </c>
      <c r="D67" s="15" t="s">
        <v>376</v>
      </c>
      <c r="E67" s="15">
        <v>10</v>
      </c>
      <c r="F67" s="15">
        <v>19</v>
      </c>
      <c r="G67" s="15" t="s">
        <v>15</v>
      </c>
      <c r="H67" s="15" t="s">
        <v>17</v>
      </c>
      <c r="I67" s="15" t="s">
        <v>74</v>
      </c>
      <c r="J67" s="16">
        <v>45568</v>
      </c>
    </row>
    <row r="68" spans="1:10" x14ac:dyDescent="0.3">
      <c r="A68" s="16">
        <v>45408</v>
      </c>
      <c r="B68" s="15">
        <v>66934</v>
      </c>
      <c r="C68" s="14" t="s">
        <v>16</v>
      </c>
      <c r="D68" s="15" t="s">
        <v>376</v>
      </c>
      <c r="E68" s="15">
        <v>10</v>
      </c>
      <c r="F68" s="15">
        <v>20</v>
      </c>
      <c r="G68" s="15" t="s">
        <v>15</v>
      </c>
      <c r="H68" s="15" t="s">
        <v>17</v>
      </c>
      <c r="I68" s="15" t="s">
        <v>74</v>
      </c>
      <c r="J68" s="16">
        <v>45568</v>
      </c>
    </row>
    <row r="69" spans="1:10" x14ac:dyDescent="0.3">
      <c r="A69" s="16">
        <v>45420</v>
      </c>
      <c r="B69" s="15">
        <v>66931</v>
      </c>
      <c r="C69" s="14" t="s">
        <v>82</v>
      </c>
      <c r="D69" s="15" t="s">
        <v>378</v>
      </c>
      <c r="E69" s="15">
        <v>10</v>
      </c>
      <c r="F69" s="15">
        <v>59</v>
      </c>
      <c r="G69" s="15" t="s">
        <v>15</v>
      </c>
      <c r="H69" s="15" t="s">
        <v>17</v>
      </c>
      <c r="I69" s="15" t="s">
        <v>74</v>
      </c>
      <c r="J69" s="16">
        <v>45478</v>
      </c>
    </row>
    <row r="70" spans="1:10" x14ac:dyDescent="0.3">
      <c r="A70" s="16">
        <v>45420</v>
      </c>
      <c r="B70" s="15">
        <v>66931</v>
      </c>
      <c r="C70" s="14" t="s">
        <v>82</v>
      </c>
      <c r="D70" s="15" t="s">
        <v>378</v>
      </c>
      <c r="E70" s="15">
        <v>10</v>
      </c>
      <c r="F70" s="15">
        <v>100</v>
      </c>
      <c r="G70" s="15" t="s">
        <v>15</v>
      </c>
      <c r="H70" s="15" t="s">
        <v>17</v>
      </c>
      <c r="I70" s="15" t="s">
        <v>74</v>
      </c>
      <c r="J70" s="16">
        <v>45478</v>
      </c>
    </row>
    <row r="71" spans="1:10" x14ac:dyDescent="0.3">
      <c r="A71" s="16">
        <v>45420</v>
      </c>
      <c r="B71" s="15">
        <v>66931</v>
      </c>
      <c r="C71" s="14" t="s">
        <v>82</v>
      </c>
      <c r="D71" s="15" t="s">
        <v>378</v>
      </c>
      <c r="E71" s="15">
        <v>10</v>
      </c>
      <c r="F71" s="15">
        <v>113</v>
      </c>
      <c r="G71" s="15" t="s">
        <v>15</v>
      </c>
      <c r="H71" s="15" t="s">
        <v>17</v>
      </c>
      <c r="I71" s="15" t="s">
        <v>74</v>
      </c>
      <c r="J71" s="16">
        <v>45478</v>
      </c>
    </row>
    <row r="72" spans="1:10" x14ac:dyDescent="0.3">
      <c r="A72" s="16">
        <v>45421</v>
      </c>
      <c r="B72" s="15" t="s">
        <v>86</v>
      </c>
      <c r="C72" s="14" t="s">
        <v>82</v>
      </c>
      <c r="D72" s="15" t="s">
        <v>379</v>
      </c>
      <c r="E72" s="15">
        <v>0</v>
      </c>
      <c r="F72" s="15" t="s">
        <v>86</v>
      </c>
      <c r="G72" s="15" t="s">
        <v>380</v>
      </c>
      <c r="H72" s="15" t="s">
        <v>17</v>
      </c>
      <c r="I72" s="15" t="s">
        <v>18</v>
      </c>
      <c r="J72" s="16" t="s">
        <v>86</v>
      </c>
    </row>
    <row r="73" spans="1:10" x14ac:dyDescent="0.3">
      <c r="A73" s="16">
        <v>45422</v>
      </c>
      <c r="B73" s="15" t="s">
        <v>86</v>
      </c>
      <c r="C73" s="14" t="s">
        <v>73</v>
      </c>
      <c r="D73" s="15" t="s">
        <v>381</v>
      </c>
      <c r="E73" s="15">
        <v>0</v>
      </c>
      <c r="F73" s="15" t="s">
        <v>86</v>
      </c>
      <c r="G73" s="15" t="s">
        <v>380</v>
      </c>
      <c r="H73" s="15" t="s">
        <v>17</v>
      </c>
      <c r="I73" s="15" t="s">
        <v>18</v>
      </c>
      <c r="J73" s="16" t="s">
        <v>86</v>
      </c>
    </row>
    <row r="74" spans="1:10" x14ac:dyDescent="0.3">
      <c r="A74" s="16">
        <v>45629</v>
      </c>
      <c r="B74" s="15" t="s">
        <v>86</v>
      </c>
      <c r="C74" s="14" t="s">
        <v>73</v>
      </c>
      <c r="D74" s="15" t="s">
        <v>402</v>
      </c>
      <c r="E74" s="15">
        <v>10</v>
      </c>
      <c r="F74" s="15">
        <v>21</v>
      </c>
      <c r="G74" s="15" t="s">
        <v>15</v>
      </c>
      <c r="H74" s="15" t="s">
        <v>71</v>
      </c>
      <c r="I74" s="15" t="s">
        <v>18</v>
      </c>
      <c r="J74" s="16">
        <v>45632</v>
      </c>
    </row>
    <row r="75" spans="1:10" x14ac:dyDescent="0.3">
      <c r="A75" s="16">
        <v>45433</v>
      </c>
      <c r="B75" s="15">
        <v>66887</v>
      </c>
      <c r="C75" s="14" t="s">
        <v>16</v>
      </c>
      <c r="D75" s="15" t="s">
        <v>385</v>
      </c>
      <c r="E75" s="15">
        <v>10</v>
      </c>
      <c r="F75" s="15">
        <v>22</v>
      </c>
      <c r="G75" s="15" t="s">
        <v>15</v>
      </c>
      <c r="H75" s="15" t="s">
        <v>17</v>
      </c>
      <c r="I75" s="15" t="s">
        <v>74</v>
      </c>
      <c r="J75" s="16">
        <v>45457</v>
      </c>
    </row>
    <row r="76" spans="1:10" x14ac:dyDescent="0.3">
      <c r="A76" s="16">
        <v>45425</v>
      </c>
      <c r="B76" s="15">
        <v>66932</v>
      </c>
      <c r="C76" s="14" t="s">
        <v>73</v>
      </c>
      <c r="D76" s="15" t="s">
        <v>382</v>
      </c>
      <c r="E76" s="15">
        <v>10</v>
      </c>
      <c r="F76" s="15">
        <v>94</v>
      </c>
      <c r="G76" s="15" t="s">
        <v>15</v>
      </c>
      <c r="H76" s="15" t="s">
        <v>17</v>
      </c>
      <c r="I76" s="15" t="s">
        <v>74</v>
      </c>
      <c r="J76" s="16">
        <v>45597</v>
      </c>
    </row>
    <row r="77" spans="1:10" x14ac:dyDescent="0.3">
      <c r="A77" s="16">
        <v>45425</v>
      </c>
      <c r="B77" s="15">
        <v>66932</v>
      </c>
      <c r="C77" s="14" t="s">
        <v>73</v>
      </c>
      <c r="D77" s="15" t="s">
        <v>382</v>
      </c>
      <c r="E77" s="15">
        <v>10</v>
      </c>
      <c r="F77" s="15">
        <v>95</v>
      </c>
      <c r="G77" s="15" t="s">
        <v>15</v>
      </c>
      <c r="H77" s="15" t="s">
        <v>17</v>
      </c>
      <c r="I77" s="15" t="s">
        <v>74</v>
      </c>
      <c r="J77" s="16">
        <v>45597</v>
      </c>
    </row>
    <row r="78" spans="1:10" x14ac:dyDescent="0.3">
      <c r="A78" s="16">
        <v>45425</v>
      </c>
      <c r="B78" s="15">
        <v>66932</v>
      </c>
      <c r="C78" s="14" t="s">
        <v>73</v>
      </c>
      <c r="D78" s="15" t="s">
        <v>382</v>
      </c>
      <c r="E78" s="15">
        <v>10</v>
      </c>
      <c r="F78" s="15">
        <v>96</v>
      </c>
      <c r="G78" s="15" t="s">
        <v>15</v>
      </c>
      <c r="H78" s="15" t="s">
        <v>17</v>
      </c>
      <c r="I78" s="15" t="s">
        <v>74</v>
      </c>
      <c r="J78" s="16">
        <v>45597</v>
      </c>
    </row>
    <row r="79" spans="1:10" x14ac:dyDescent="0.3">
      <c r="A79" s="16">
        <v>45425</v>
      </c>
      <c r="B79" s="15">
        <v>66932</v>
      </c>
      <c r="C79" s="14" t="s">
        <v>73</v>
      </c>
      <c r="D79" s="15" t="s">
        <v>382</v>
      </c>
      <c r="E79" s="15">
        <v>10</v>
      </c>
      <c r="F79" s="15">
        <v>99</v>
      </c>
      <c r="G79" s="15" t="s">
        <v>15</v>
      </c>
      <c r="H79" s="15" t="s">
        <v>17</v>
      </c>
      <c r="I79" s="15" t="s">
        <v>74</v>
      </c>
      <c r="J79" s="16">
        <v>45597</v>
      </c>
    </row>
    <row r="80" spans="1:10" x14ac:dyDescent="0.3">
      <c r="A80" s="16">
        <v>45384</v>
      </c>
      <c r="B80" s="15">
        <v>66159</v>
      </c>
      <c r="C80" s="14" t="s">
        <v>81</v>
      </c>
      <c r="D80" s="15" t="s">
        <v>373</v>
      </c>
      <c r="E80" s="15">
        <v>10</v>
      </c>
      <c r="F80" s="15">
        <v>23</v>
      </c>
      <c r="G80" s="15" t="s">
        <v>15</v>
      </c>
      <c r="H80" s="15" t="s">
        <v>17</v>
      </c>
      <c r="I80" s="15" t="s">
        <v>74</v>
      </c>
      <c r="J80" s="16">
        <v>45512</v>
      </c>
    </row>
    <row r="81" spans="1:10" x14ac:dyDescent="0.3">
      <c r="A81" s="16">
        <v>45433</v>
      </c>
      <c r="B81" s="15">
        <v>66887</v>
      </c>
      <c r="C81" s="14" t="s">
        <v>16</v>
      </c>
      <c r="D81" s="15" t="s">
        <v>385</v>
      </c>
      <c r="E81" s="15">
        <v>10</v>
      </c>
      <c r="F81" s="15">
        <v>23</v>
      </c>
      <c r="G81" s="15" t="s">
        <v>15</v>
      </c>
      <c r="H81" s="15" t="s">
        <v>17</v>
      </c>
      <c r="I81" s="15" t="s">
        <v>74</v>
      </c>
      <c r="J81" s="16">
        <v>45457</v>
      </c>
    </row>
    <row r="82" spans="1:10" x14ac:dyDescent="0.3">
      <c r="A82" s="16">
        <v>45429</v>
      </c>
      <c r="B82" s="15">
        <v>66935</v>
      </c>
      <c r="C82" s="14" t="s">
        <v>81</v>
      </c>
      <c r="D82" s="15" t="s">
        <v>383</v>
      </c>
      <c r="E82" s="15">
        <v>10</v>
      </c>
      <c r="F82" s="15">
        <v>58</v>
      </c>
      <c r="G82" s="15" t="s">
        <v>15</v>
      </c>
      <c r="H82" s="15" t="s">
        <v>17</v>
      </c>
      <c r="I82" s="15" t="s">
        <v>74</v>
      </c>
      <c r="J82" s="16">
        <v>45472</v>
      </c>
    </row>
    <row r="83" spans="1:10" x14ac:dyDescent="0.3">
      <c r="A83" s="16">
        <v>45429</v>
      </c>
      <c r="B83" s="15">
        <v>66935</v>
      </c>
      <c r="C83" s="14" t="s">
        <v>81</v>
      </c>
      <c r="D83" s="15" t="s">
        <v>383</v>
      </c>
      <c r="E83" s="15">
        <v>10</v>
      </c>
      <c r="F83" s="15">
        <v>61</v>
      </c>
      <c r="G83" s="15" t="s">
        <v>15</v>
      </c>
      <c r="H83" s="15" t="s">
        <v>17</v>
      </c>
      <c r="I83" s="15" t="s">
        <v>74</v>
      </c>
      <c r="J83" s="16">
        <v>45472</v>
      </c>
    </row>
    <row r="84" spans="1:10" x14ac:dyDescent="0.3">
      <c r="A84" s="16">
        <v>45429</v>
      </c>
      <c r="B84" s="15">
        <v>66935</v>
      </c>
      <c r="C84" s="14" t="s">
        <v>81</v>
      </c>
      <c r="D84" s="15" t="s">
        <v>383</v>
      </c>
      <c r="E84" s="15">
        <v>10</v>
      </c>
      <c r="F84" s="15">
        <v>63</v>
      </c>
      <c r="G84" s="15" t="s">
        <v>15</v>
      </c>
      <c r="H84" s="15" t="s">
        <v>17</v>
      </c>
      <c r="I84" s="15" t="s">
        <v>74</v>
      </c>
      <c r="J84" s="16">
        <v>45472</v>
      </c>
    </row>
    <row r="85" spans="1:10" x14ac:dyDescent="0.3">
      <c r="A85" s="16">
        <v>45429</v>
      </c>
      <c r="B85" s="15">
        <v>66935</v>
      </c>
      <c r="C85" s="14" t="s">
        <v>81</v>
      </c>
      <c r="D85" s="15" t="s">
        <v>383</v>
      </c>
      <c r="E85" s="15">
        <v>10</v>
      </c>
      <c r="F85" s="15">
        <v>64</v>
      </c>
      <c r="G85" s="15" t="s">
        <v>15</v>
      </c>
      <c r="H85" s="15" t="s">
        <v>17</v>
      </c>
      <c r="I85" s="15" t="s">
        <v>74</v>
      </c>
      <c r="J85" s="16">
        <v>45472</v>
      </c>
    </row>
    <row r="86" spans="1:10" x14ac:dyDescent="0.3">
      <c r="A86" s="16">
        <v>45432</v>
      </c>
      <c r="B86" s="15" t="s">
        <v>86</v>
      </c>
      <c r="C86" s="14" t="s">
        <v>16</v>
      </c>
      <c r="D86" s="15" t="s">
        <v>384</v>
      </c>
      <c r="E86" s="15">
        <v>0</v>
      </c>
      <c r="F86" s="15" t="s">
        <v>86</v>
      </c>
      <c r="G86" s="15" t="s">
        <v>380</v>
      </c>
      <c r="H86" s="15" t="s">
        <v>17</v>
      </c>
      <c r="I86" s="15" t="s">
        <v>18</v>
      </c>
      <c r="J86" s="16" t="s">
        <v>86</v>
      </c>
    </row>
    <row r="87" spans="1:10" x14ac:dyDescent="0.3">
      <c r="A87" s="16">
        <v>45758</v>
      </c>
      <c r="B87" s="15" t="s">
        <v>86</v>
      </c>
      <c r="C87" s="14" t="s">
        <v>16</v>
      </c>
      <c r="D87" s="15" t="s">
        <v>376</v>
      </c>
      <c r="E87" s="15">
        <v>10</v>
      </c>
      <c r="F87" s="15">
        <v>23</v>
      </c>
      <c r="G87" s="15" t="s">
        <v>15</v>
      </c>
      <c r="H87" s="15" t="s">
        <v>72</v>
      </c>
      <c r="I87" s="15" t="s">
        <v>74</v>
      </c>
      <c r="J87" s="16">
        <v>45764</v>
      </c>
    </row>
    <row r="88" spans="1:10" x14ac:dyDescent="0.3">
      <c r="A88" s="16">
        <v>45447</v>
      </c>
      <c r="B88" s="15">
        <v>67315</v>
      </c>
      <c r="C88" s="14" t="s">
        <v>82</v>
      </c>
      <c r="D88" s="15" t="s">
        <v>399</v>
      </c>
      <c r="E88" s="15">
        <v>10</v>
      </c>
      <c r="F88" s="15">
        <v>24</v>
      </c>
      <c r="G88" s="15" t="s">
        <v>15</v>
      </c>
      <c r="H88" s="15" t="s">
        <v>17</v>
      </c>
      <c r="I88" s="15" t="s">
        <v>74</v>
      </c>
      <c r="J88" s="16">
        <v>45468</v>
      </c>
    </row>
    <row r="89" spans="1:10" x14ac:dyDescent="0.3">
      <c r="A89" s="16">
        <v>45434</v>
      </c>
      <c r="B89" s="15" t="s">
        <v>86</v>
      </c>
      <c r="C89" s="14" t="s">
        <v>16</v>
      </c>
      <c r="D89" s="15" t="s">
        <v>386</v>
      </c>
      <c r="E89" s="15">
        <v>0</v>
      </c>
      <c r="F89" s="15" t="s">
        <v>86</v>
      </c>
      <c r="G89" s="15" t="s">
        <v>380</v>
      </c>
      <c r="H89" s="15" t="s">
        <v>17</v>
      </c>
      <c r="I89" s="15" t="s">
        <v>18</v>
      </c>
      <c r="J89" s="16" t="s">
        <v>86</v>
      </c>
    </row>
    <row r="90" spans="1:10" x14ac:dyDescent="0.3">
      <c r="A90" s="16">
        <v>45435</v>
      </c>
      <c r="B90" s="15" t="s">
        <v>86</v>
      </c>
      <c r="C90" s="14" t="s">
        <v>16</v>
      </c>
      <c r="D90" s="15" t="s">
        <v>387</v>
      </c>
      <c r="E90" s="15">
        <v>0</v>
      </c>
      <c r="F90" s="15" t="s">
        <v>86</v>
      </c>
      <c r="G90" s="15" t="s">
        <v>380</v>
      </c>
      <c r="H90" s="15" t="s">
        <v>17</v>
      </c>
      <c r="I90" s="15" t="s">
        <v>18</v>
      </c>
      <c r="J90" s="16" t="s">
        <v>86</v>
      </c>
    </row>
    <row r="91" spans="1:10" x14ac:dyDescent="0.3">
      <c r="A91" s="16">
        <v>45435</v>
      </c>
      <c r="B91" s="15" t="s">
        <v>86</v>
      </c>
      <c r="C91" s="14" t="s">
        <v>16</v>
      </c>
      <c r="D91" s="15" t="s">
        <v>388</v>
      </c>
      <c r="E91" s="15">
        <v>0</v>
      </c>
      <c r="F91" s="15" t="s">
        <v>86</v>
      </c>
      <c r="G91" s="15" t="s">
        <v>380</v>
      </c>
      <c r="H91" s="15" t="s">
        <v>17</v>
      </c>
      <c r="I91" s="15" t="s">
        <v>18</v>
      </c>
      <c r="J91" s="16" t="s">
        <v>86</v>
      </c>
    </row>
    <row r="92" spans="1:10" x14ac:dyDescent="0.3">
      <c r="A92" s="16">
        <v>45436</v>
      </c>
      <c r="B92" s="15" t="s">
        <v>86</v>
      </c>
      <c r="C92" s="14" t="s">
        <v>16</v>
      </c>
      <c r="D92" s="15" t="s">
        <v>389</v>
      </c>
      <c r="E92" s="15">
        <v>0</v>
      </c>
      <c r="F92" s="15" t="s">
        <v>86</v>
      </c>
      <c r="G92" s="15" t="s">
        <v>380</v>
      </c>
      <c r="H92" s="15" t="s">
        <v>17</v>
      </c>
      <c r="I92" s="15" t="s">
        <v>18</v>
      </c>
      <c r="J92" s="16" t="s">
        <v>86</v>
      </c>
    </row>
    <row r="93" spans="1:10" x14ac:dyDescent="0.3">
      <c r="A93" s="16">
        <v>45436</v>
      </c>
      <c r="B93" s="15" t="s">
        <v>86</v>
      </c>
      <c r="C93" s="14" t="s">
        <v>16</v>
      </c>
      <c r="D93" s="15" t="s">
        <v>390</v>
      </c>
      <c r="E93" s="15">
        <v>0</v>
      </c>
      <c r="F93" s="15" t="s">
        <v>86</v>
      </c>
      <c r="G93" s="15" t="s">
        <v>380</v>
      </c>
      <c r="H93" s="15" t="s">
        <v>17</v>
      </c>
      <c r="I93" s="15" t="s">
        <v>18</v>
      </c>
      <c r="J93" s="16" t="s">
        <v>86</v>
      </c>
    </row>
    <row r="94" spans="1:10" x14ac:dyDescent="0.3">
      <c r="A94" s="16">
        <v>45437</v>
      </c>
      <c r="B94" s="15" t="s">
        <v>86</v>
      </c>
      <c r="C94" s="14" t="s">
        <v>16</v>
      </c>
      <c r="D94" s="15" t="s">
        <v>390</v>
      </c>
      <c r="E94" s="15">
        <v>0</v>
      </c>
      <c r="F94" s="15" t="s">
        <v>86</v>
      </c>
      <c r="G94" s="15" t="s">
        <v>380</v>
      </c>
      <c r="H94" s="15" t="s">
        <v>17</v>
      </c>
      <c r="I94" s="15" t="s">
        <v>18</v>
      </c>
      <c r="J94" s="16" t="s">
        <v>86</v>
      </c>
    </row>
    <row r="95" spans="1:10" x14ac:dyDescent="0.3">
      <c r="A95" s="16">
        <v>45439</v>
      </c>
      <c r="B95" s="15" t="s">
        <v>86</v>
      </c>
      <c r="C95" s="14" t="s">
        <v>16</v>
      </c>
      <c r="D95" s="15" t="s">
        <v>391</v>
      </c>
      <c r="E95" s="15">
        <v>0</v>
      </c>
      <c r="F95" s="15" t="s">
        <v>86</v>
      </c>
      <c r="G95" s="15" t="s">
        <v>380</v>
      </c>
      <c r="H95" s="15" t="s">
        <v>17</v>
      </c>
      <c r="I95" s="15" t="s">
        <v>18</v>
      </c>
      <c r="J95" s="16" t="s">
        <v>86</v>
      </c>
    </row>
    <row r="96" spans="1:10" x14ac:dyDescent="0.3">
      <c r="A96" s="16">
        <v>45439</v>
      </c>
      <c r="B96" s="15" t="s">
        <v>86</v>
      </c>
      <c r="C96" s="14" t="s">
        <v>82</v>
      </c>
      <c r="D96" s="15" t="s">
        <v>392</v>
      </c>
      <c r="E96" s="15">
        <v>0</v>
      </c>
      <c r="F96" s="15" t="s">
        <v>86</v>
      </c>
      <c r="G96" s="15" t="s">
        <v>380</v>
      </c>
      <c r="H96" s="15" t="s">
        <v>17</v>
      </c>
      <c r="I96" s="15" t="s">
        <v>18</v>
      </c>
      <c r="J96" s="16" t="s">
        <v>86</v>
      </c>
    </row>
    <row r="97" spans="1:10" x14ac:dyDescent="0.3">
      <c r="A97" s="16">
        <v>45440</v>
      </c>
      <c r="B97" s="15">
        <v>67108</v>
      </c>
      <c r="C97" s="14" t="s">
        <v>82</v>
      </c>
      <c r="D97" s="15" t="s">
        <v>393</v>
      </c>
      <c r="E97" s="15">
        <v>10</v>
      </c>
      <c r="F97" s="15">
        <v>2</v>
      </c>
      <c r="G97" s="15" t="s">
        <v>15</v>
      </c>
      <c r="H97" s="15" t="s">
        <v>17</v>
      </c>
      <c r="I97" s="15" t="s">
        <v>74</v>
      </c>
      <c r="J97" s="16">
        <v>45465</v>
      </c>
    </row>
    <row r="98" spans="1:10" x14ac:dyDescent="0.3">
      <c r="A98" s="16">
        <v>45440</v>
      </c>
      <c r="B98" s="15">
        <v>67108</v>
      </c>
      <c r="C98" s="14" t="s">
        <v>82</v>
      </c>
      <c r="D98" s="15" t="s">
        <v>393</v>
      </c>
      <c r="E98" s="15">
        <v>10</v>
      </c>
      <c r="F98" s="15">
        <v>3</v>
      </c>
      <c r="G98" s="15" t="s">
        <v>15</v>
      </c>
      <c r="H98" s="15" t="s">
        <v>17</v>
      </c>
      <c r="I98" s="15" t="s">
        <v>74</v>
      </c>
      <c r="J98" s="16">
        <v>45465</v>
      </c>
    </row>
    <row r="99" spans="1:10" x14ac:dyDescent="0.3">
      <c r="A99" s="16">
        <v>45608</v>
      </c>
      <c r="B99" s="15" t="s">
        <v>86</v>
      </c>
      <c r="C99" s="14" t="s">
        <v>16</v>
      </c>
      <c r="D99" s="15" t="s">
        <v>376</v>
      </c>
      <c r="E99" s="15">
        <v>10</v>
      </c>
      <c r="F99" s="15">
        <v>24</v>
      </c>
      <c r="G99" s="15" t="s">
        <v>15</v>
      </c>
      <c r="H99" s="15" t="s">
        <v>71</v>
      </c>
      <c r="I99" s="15" t="s">
        <v>18</v>
      </c>
      <c r="J99" s="16">
        <v>45635</v>
      </c>
    </row>
    <row r="100" spans="1:10" x14ac:dyDescent="0.3">
      <c r="A100" s="16">
        <v>45464</v>
      </c>
      <c r="B100" s="15">
        <v>68028</v>
      </c>
      <c r="C100" s="14" t="s">
        <v>73</v>
      </c>
      <c r="D100" s="15" t="s">
        <v>417</v>
      </c>
      <c r="E100" s="15">
        <v>10</v>
      </c>
      <c r="F100" s="15">
        <v>26</v>
      </c>
      <c r="G100" s="15" t="s">
        <v>15</v>
      </c>
      <c r="H100" s="15" t="s">
        <v>17</v>
      </c>
      <c r="I100" s="15" t="s">
        <v>74</v>
      </c>
      <c r="J100" s="16">
        <v>45475</v>
      </c>
    </row>
    <row r="101" spans="1:10" x14ac:dyDescent="0.3">
      <c r="A101" s="16">
        <v>45425</v>
      </c>
      <c r="B101" s="15">
        <v>66932</v>
      </c>
      <c r="C101" s="14" t="s">
        <v>73</v>
      </c>
      <c r="D101" s="15" t="s">
        <v>382</v>
      </c>
      <c r="E101" s="15">
        <v>10</v>
      </c>
      <c r="F101" s="15">
        <v>27</v>
      </c>
      <c r="G101" s="15" t="s">
        <v>15</v>
      </c>
      <c r="H101" s="15" t="s">
        <v>17</v>
      </c>
      <c r="I101" s="15" t="s">
        <v>74</v>
      </c>
      <c r="J101" s="16">
        <v>45597</v>
      </c>
    </row>
    <row r="102" spans="1:10" x14ac:dyDescent="0.3">
      <c r="A102" s="16">
        <v>45441</v>
      </c>
      <c r="B102" s="15" t="s">
        <v>86</v>
      </c>
      <c r="C102" s="14" t="s">
        <v>82</v>
      </c>
      <c r="D102" s="15" t="s">
        <v>394</v>
      </c>
      <c r="E102" s="15">
        <v>0</v>
      </c>
      <c r="F102" s="15" t="s">
        <v>86</v>
      </c>
      <c r="G102" s="15" t="s">
        <v>380</v>
      </c>
      <c r="H102" s="15" t="s">
        <v>17</v>
      </c>
      <c r="I102" s="15" t="s">
        <v>18</v>
      </c>
      <c r="J102" s="16" t="s">
        <v>86</v>
      </c>
    </row>
    <row r="103" spans="1:10" x14ac:dyDescent="0.3">
      <c r="A103" s="16">
        <v>45441</v>
      </c>
      <c r="B103" s="15" t="s">
        <v>86</v>
      </c>
      <c r="C103" s="14" t="s">
        <v>82</v>
      </c>
      <c r="D103" s="15" t="s">
        <v>395</v>
      </c>
      <c r="E103" s="15">
        <v>0</v>
      </c>
      <c r="F103" s="15" t="s">
        <v>86</v>
      </c>
      <c r="G103" s="15" t="s">
        <v>380</v>
      </c>
      <c r="H103" s="15" t="s">
        <v>17</v>
      </c>
      <c r="I103" s="15" t="s">
        <v>18</v>
      </c>
      <c r="J103" s="16" t="s">
        <v>86</v>
      </c>
    </row>
    <row r="104" spans="1:10" x14ac:dyDescent="0.3">
      <c r="A104" s="16">
        <v>45443</v>
      </c>
      <c r="B104" s="15">
        <v>67180</v>
      </c>
      <c r="C104" s="14" t="s">
        <v>82</v>
      </c>
      <c r="D104" s="15" t="s">
        <v>396</v>
      </c>
      <c r="E104" s="15">
        <v>10</v>
      </c>
      <c r="F104" s="15">
        <v>60</v>
      </c>
      <c r="G104" s="15" t="s">
        <v>15</v>
      </c>
      <c r="H104" s="15" t="s">
        <v>17</v>
      </c>
      <c r="I104" s="15" t="s">
        <v>74</v>
      </c>
      <c r="J104" s="16">
        <v>45460</v>
      </c>
    </row>
    <row r="105" spans="1:10" x14ac:dyDescent="0.3">
      <c r="A105" s="16">
        <v>45443</v>
      </c>
      <c r="B105" s="15">
        <v>67180</v>
      </c>
      <c r="C105" s="14" t="s">
        <v>82</v>
      </c>
      <c r="D105" s="15" t="s">
        <v>396</v>
      </c>
      <c r="E105" s="15">
        <v>10</v>
      </c>
      <c r="F105" s="15">
        <v>100</v>
      </c>
      <c r="G105" s="15" t="s">
        <v>15</v>
      </c>
      <c r="H105" s="15" t="s">
        <v>17</v>
      </c>
      <c r="I105" s="15" t="s">
        <v>74</v>
      </c>
      <c r="J105" s="16">
        <v>45460</v>
      </c>
    </row>
    <row r="106" spans="1:10" x14ac:dyDescent="0.3">
      <c r="A106" s="16">
        <v>45758</v>
      </c>
      <c r="B106" s="15" t="s">
        <v>86</v>
      </c>
      <c r="C106" s="14" t="s">
        <v>16</v>
      </c>
      <c r="D106" s="15" t="s">
        <v>376</v>
      </c>
      <c r="E106" s="15">
        <v>10</v>
      </c>
      <c r="F106" s="15">
        <v>28</v>
      </c>
      <c r="G106" s="15" t="s">
        <v>15</v>
      </c>
      <c r="H106" s="15" t="s">
        <v>72</v>
      </c>
      <c r="I106" s="15" t="s">
        <v>74</v>
      </c>
      <c r="J106" s="16">
        <v>45764</v>
      </c>
    </row>
    <row r="107" spans="1:10" x14ac:dyDescent="0.3">
      <c r="A107" s="16">
        <v>45758</v>
      </c>
      <c r="B107" s="15" t="s">
        <v>86</v>
      </c>
      <c r="C107" s="14" t="s">
        <v>16</v>
      </c>
      <c r="D107" s="15" t="s">
        <v>376</v>
      </c>
      <c r="E107" s="15">
        <v>10</v>
      </c>
      <c r="F107" s="15">
        <v>29</v>
      </c>
      <c r="G107" s="15" t="s">
        <v>15</v>
      </c>
      <c r="H107" s="15" t="s">
        <v>72</v>
      </c>
      <c r="I107" s="15" t="s">
        <v>74</v>
      </c>
      <c r="J107" s="16">
        <v>45764</v>
      </c>
    </row>
    <row r="108" spans="1:10" x14ac:dyDescent="0.3">
      <c r="A108" s="16">
        <v>45446</v>
      </c>
      <c r="B108" s="15" t="s">
        <v>86</v>
      </c>
      <c r="C108" s="14" t="s">
        <v>82</v>
      </c>
      <c r="D108" s="15" t="s">
        <v>398</v>
      </c>
      <c r="E108" s="15">
        <v>0</v>
      </c>
      <c r="F108" s="15" t="s">
        <v>86</v>
      </c>
      <c r="G108" s="15" t="s">
        <v>380</v>
      </c>
      <c r="H108" s="15" t="s">
        <v>17</v>
      </c>
      <c r="I108" s="15" t="s">
        <v>18</v>
      </c>
      <c r="J108" s="16" t="s">
        <v>86</v>
      </c>
    </row>
    <row r="109" spans="1:10" x14ac:dyDescent="0.3">
      <c r="A109" s="16">
        <v>45447</v>
      </c>
      <c r="B109" s="15">
        <v>67315</v>
      </c>
      <c r="C109" s="14" t="s">
        <v>82</v>
      </c>
      <c r="D109" s="15" t="s">
        <v>399</v>
      </c>
      <c r="E109" s="15">
        <v>10</v>
      </c>
      <c r="F109" s="15">
        <v>5</v>
      </c>
      <c r="G109" s="15" t="s">
        <v>15</v>
      </c>
      <c r="H109" s="15" t="s">
        <v>17</v>
      </c>
      <c r="I109" s="15" t="s">
        <v>74</v>
      </c>
      <c r="J109" s="16">
        <v>45468</v>
      </c>
    </row>
    <row r="110" spans="1:10" x14ac:dyDescent="0.3">
      <c r="A110" s="16">
        <v>45408</v>
      </c>
      <c r="B110" s="15">
        <v>66934</v>
      </c>
      <c r="C110" s="14" t="s">
        <v>16</v>
      </c>
      <c r="D110" s="15" t="s">
        <v>376</v>
      </c>
      <c r="E110" s="15">
        <v>10</v>
      </c>
      <c r="F110" s="15">
        <v>30</v>
      </c>
      <c r="G110" s="15" t="s">
        <v>15</v>
      </c>
      <c r="H110" s="15" t="s">
        <v>17</v>
      </c>
      <c r="I110" s="15" t="s">
        <v>74</v>
      </c>
      <c r="J110" s="16">
        <v>45568</v>
      </c>
    </row>
    <row r="111" spans="1:10" x14ac:dyDescent="0.3">
      <c r="A111" s="16">
        <v>45420</v>
      </c>
      <c r="B111" s="15">
        <v>66931</v>
      </c>
      <c r="C111" s="14" t="s">
        <v>82</v>
      </c>
      <c r="D111" s="15" t="s">
        <v>378</v>
      </c>
      <c r="E111" s="15">
        <v>10</v>
      </c>
      <c r="F111" s="15">
        <v>31</v>
      </c>
      <c r="G111" s="15" t="s">
        <v>15</v>
      </c>
      <c r="H111" s="15" t="s">
        <v>17</v>
      </c>
      <c r="I111" s="15" t="s">
        <v>74</v>
      </c>
      <c r="J111" s="16">
        <v>45478</v>
      </c>
    </row>
    <row r="112" spans="1:10" x14ac:dyDescent="0.3">
      <c r="A112" s="16">
        <v>45440</v>
      </c>
      <c r="B112" s="15">
        <v>67108</v>
      </c>
      <c r="C112" s="14" t="s">
        <v>82</v>
      </c>
      <c r="D112" s="15" t="s">
        <v>393</v>
      </c>
      <c r="E112" s="15">
        <v>10</v>
      </c>
      <c r="F112" s="15">
        <v>31</v>
      </c>
      <c r="G112" s="15" t="s">
        <v>15</v>
      </c>
      <c r="H112" s="15" t="s">
        <v>17</v>
      </c>
      <c r="I112" s="15" t="s">
        <v>74</v>
      </c>
      <c r="J112" s="16">
        <v>45465</v>
      </c>
    </row>
    <row r="113" spans="1:10" x14ac:dyDescent="0.3">
      <c r="A113" s="16">
        <v>45758</v>
      </c>
      <c r="B113" s="15" t="s">
        <v>86</v>
      </c>
      <c r="C113" s="14" t="s">
        <v>16</v>
      </c>
      <c r="D113" s="15" t="s">
        <v>376</v>
      </c>
      <c r="E113" s="15">
        <v>10</v>
      </c>
      <c r="F113" s="15">
        <v>31</v>
      </c>
      <c r="G113" s="15" t="s">
        <v>15</v>
      </c>
      <c r="H113" s="15" t="s">
        <v>72</v>
      </c>
      <c r="I113" s="15" t="s">
        <v>74</v>
      </c>
      <c r="J113" s="16">
        <v>45764</v>
      </c>
    </row>
    <row r="114" spans="1:10" x14ac:dyDescent="0.3">
      <c r="A114" s="16">
        <v>45447</v>
      </c>
      <c r="B114" s="15" t="s">
        <v>86</v>
      </c>
      <c r="C114" s="14" t="s">
        <v>82</v>
      </c>
      <c r="D114" s="15" t="s">
        <v>400</v>
      </c>
      <c r="E114" s="15">
        <v>0</v>
      </c>
      <c r="F114" s="15" t="s">
        <v>86</v>
      </c>
      <c r="G114" s="15" t="s">
        <v>380</v>
      </c>
      <c r="H114" s="15" t="s">
        <v>17</v>
      </c>
      <c r="I114" s="15" t="s">
        <v>18</v>
      </c>
      <c r="J114" s="16" t="s">
        <v>86</v>
      </c>
    </row>
    <row r="115" spans="1:10" x14ac:dyDescent="0.3">
      <c r="A115" s="16">
        <v>45448</v>
      </c>
      <c r="B115" s="15">
        <v>67373</v>
      </c>
      <c r="C115" s="14" t="s">
        <v>73</v>
      </c>
      <c r="D115" s="15" t="s">
        <v>401</v>
      </c>
      <c r="E115" s="15">
        <v>10</v>
      </c>
      <c r="F115" s="15">
        <v>2</v>
      </c>
      <c r="G115" s="15" t="s">
        <v>15</v>
      </c>
      <c r="H115" s="15" t="s">
        <v>17</v>
      </c>
      <c r="I115" s="15" t="s">
        <v>74</v>
      </c>
      <c r="J115" s="16">
        <v>45463</v>
      </c>
    </row>
    <row r="116" spans="1:10" x14ac:dyDescent="0.3">
      <c r="A116" s="16">
        <v>45440</v>
      </c>
      <c r="B116" s="15">
        <v>67108</v>
      </c>
      <c r="C116" s="14" t="s">
        <v>82</v>
      </c>
      <c r="D116" s="15" t="s">
        <v>393</v>
      </c>
      <c r="E116" s="15">
        <v>10</v>
      </c>
      <c r="F116" s="15">
        <v>32</v>
      </c>
      <c r="G116" s="15" t="s">
        <v>15</v>
      </c>
      <c r="H116" s="15" t="s">
        <v>17</v>
      </c>
      <c r="I116" s="15" t="s">
        <v>74</v>
      </c>
      <c r="J116" s="16">
        <v>45465</v>
      </c>
    </row>
    <row r="117" spans="1:10" x14ac:dyDescent="0.3">
      <c r="A117" s="16">
        <v>45448</v>
      </c>
      <c r="B117" s="15">
        <v>67373</v>
      </c>
      <c r="C117" s="14" t="s">
        <v>73</v>
      </c>
      <c r="D117" s="15" t="s">
        <v>401</v>
      </c>
      <c r="E117" s="15">
        <v>10</v>
      </c>
      <c r="F117" s="15">
        <v>118</v>
      </c>
      <c r="G117" s="15" t="s">
        <v>15</v>
      </c>
      <c r="H117" s="15" t="s">
        <v>17</v>
      </c>
      <c r="I117" s="15" t="s">
        <v>74</v>
      </c>
      <c r="J117" s="16">
        <v>45463</v>
      </c>
    </row>
    <row r="118" spans="1:10" x14ac:dyDescent="0.3">
      <c r="A118" s="16">
        <v>45448</v>
      </c>
      <c r="B118" s="15">
        <v>67395</v>
      </c>
      <c r="C118" s="14" t="s">
        <v>73</v>
      </c>
      <c r="D118" s="15" t="s">
        <v>402</v>
      </c>
      <c r="E118" s="15">
        <v>10</v>
      </c>
      <c r="F118" s="15">
        <v>1</v>
      </c>
      <c r="G118" s="15" t="s">
        <v>15</v>
      </c>
      <c r="H118" s="15" t="s">
        <v>17</v>
      </c>
      <c r="I118" s="15" t="s">
        <v>74</v>
      </c>
      <c r="J118" s="16">
        <v>45458</v>
      </c>
    </row>
    <row r="119" spans="1:10" x14ac:dyDescent="0.3">
      <c r="A119" s="16">
        <v>45449</v>
      </c>
      <c r="B119" s="15" t="s">
        <v>86</v>
      </c>
      <c r="C119" s="14" t="s">
        <v>73</v>
      </c>
      <c r="D119" s="15" t="s">
        <v>403</v>
      </c>
      <c r="E119" s="15">
        <v>0</v>
      </c>
      <c r="F119" s="15" t="s">
        <v>86</v>
      </c>
      <c r="G119" s="15" t="s">
        <v>380</v>
      </c>
      <c r="H119" s="15" t="s">
        <v>17</v>
      </c>
      <c r="I119" s="15" t="s">
        <v>18</v>
      </c>
      <c r="J119" s="16" t="s">
        <v>86</v>
      </c>
    </row>
    <row r="120" spans="1:10" x14ac:dyDescent="0.3">
      <c r="A120" s="16">
        <v>45449</v>
      </c>
      <c r="B120" s="15" t="s">
        <v>86</v>
      </c>
      <c r="C120" s="14" t="s">
        <v>73</v>
      </c>
      <c r="D120" s="15" t="s">
        <v>404</v>
      </c>
      <c r="E120" s="15">
        <v>0</v>
      </c>
      <c r="F120" s="15" t="s">
        <v>86</v>
      </c>
      <c r="G120" s="15" t="s">
        <v>380</v>
      </c>
      <c r="H120" s="15" t="s">
        <v>17</v>
      </c>
      <c r="I120" s="15" t="s">
        <v>18</v>
      </c>
      <c r="J120" s="16" t="s">
        <v>86</v>
      </c>
    </row>
    <row r="121" spans="1:10" x14ac:dyDescent="0.3">
      <c r="A121" s="16">
        <v>45450</v>
      </c>
      <c r="B121" s="15" t="s">
        <v>86</v>
      </c>
      <c r="C121" s="14" t="s">
        <v>73</v>
      </c>
      <c r="D121" s="15" t="s">
        <v>405</v>
      </c>
      <c r="E121" s="15">
        <v>0</v>
      </c>
      <c r="F121" s="15" t="s">
        <v>86</v>
      </c>
      <c r="G121" s="15" t="s">
        <v>380</v>
      </c>
      <c r="H121" s="15" t="s">
        <v>17</v>
      </c>
      <c r="I121" s="15" t="s">
        <v>18</v>
      </c>
      <c r="J121" s="16" t="s">
        <v>86</v>
      </c>
    </row>
    <row r="122" spans="1:10" x14ac:dyDescent="0.3">
      <c r="A122" s="16">
        <v>45450</v>
      </c>
      <c r="B122" s="15" t="s">
        <v>86</v>
      </c>
      <c r="C122" s="14" t="s">
        <v>73</v>
      </c>
      <c r="D122" s="15" t="s">
        <v>406</v>
      </c>
      <c r="E122" s="15">
        <v>0</v>
      </c>
      <c r="F122" s="15" t="s">
        <v>86</v>
      </c>
      <c r="G122" s="15" t="s">
        <v>380</v>
      </c>
      <c r="H122" s="15" t="s">
        <v>17</v>
      </c>
      <c r="I122" s="15" t="s">
        <v>18</v>
      </c>
      <c r="J122" s="16" t="s">
        <v>86</v>
      </c>
    </row>
    <row r="123" spans="1:10" x14ac:dyDescent="0.3">
      <c r="A123" s="16">
        <v>45453</v>
      </c>
      <c r="B123" s="15">
        <v>67613</v>
      </c>
      <c r="C123" s="14" t="s">
        <v>73</v>
      </c>
      <c r="D123" s="15" t="s">
        <v>407</v>
      </c>
      <c r="E123" s="15">
        <v>10</v>
      </c>
      <c r="F123" s="15">
        <v>5</v>
      </c>
      <c r="G123" s="15" t="s">
        <v>15</v>
      </c>
      <c r="H123" s="15" t="s">
        <v>17</v>
      </c>
      <c r="I123" s="15" t="s">
        <v>74</v>
      </c>
      <c r="J123" s="16">
        <v>45469</v>
      </c>
    </row>
    <row r="124" spans="1:10" x14ac:dyDescent="0.3">
      <c r="A124" s="16">
        <v>45440</v>
      </c>
      <c r="B124" s="15">
        <v>67108</v>
      </c>
      <c r="C124" s="14" t="s">
        <v>82</v>
      </c>
      <c r="D124" s="15" t="s">
        <v>393</v>
      </c>
      <c r="E124" s="15">
        <v>10</v>
      </c>
      <c r="F124" s="15">
        <v>33</v>
      </c>
      <c r="G124" s="15" t="s">
        <v>15</v>
      </c>
      <c r="H124" s="15" t="s">
        <v>17</v>
      </c>
      <c r="I124" s="15" t="s">
        <v>74</v>
      </c>
      <c r="J124" s="16">
        <v>45465</v>
      </c>
    </row>
    <row r="125" spans="1:10" x14ac:dyDescent="0.3">
      <c r="A125" s="16">
        <v>45453</v>
      </c>
      <c r="B125" s="15">
        <v>67613</v>
      </c>
      <c r="C125" s="14" t="s">
        <v>73</v>
      </c>
      <c r="D125" s="15" t="s">
        <v>407</v>
      </c>
      <c r="E125" s="15">
        <v>10</v>
      </c>
      <c r="F125" s="15">
        <v>120</v>
      </c>
      <c r="G125" s="15" t="s">
        <v>15</v>
      </c>
      <c r="H125" s="15" t="s">
        <v>17</v>
      </c>
      <c r="I125" s="15" t="s">
        <v>74</v>
      </c>
      <c r="J125" s="16">
        <v>45469</v>
      </c>
    </row>
    <row r="126" spans="1:10" x14ac:dyDescent="0.3">
      <c r="A126" s="16">
        <v>45454</v>
      </c>
      <c r="B126" s="15">
        <v>67656</v>
      </c>
      <c r="C126" s="14" t="s">
        <v>16</v>
      </c>
      <c r="D126" s="15" t="s">
        <v>408</v>
      </c>
      <c r="E126" s="15">
        <v>10</v>
      </c>
      <c r="F126" s="15">
        <v>103</v>
      </c>
      <c r="G126" s="15" t="s">
        <v>15</v>
      </c>
      <c r="H126" s="15" t="s">
        <v>17</v>
      </c>
      <c r="I126" s="15" t="s">
        <v>74</v>
      </c>
      <c r="J126" s="16">
        <v>45462</v>
      </c>
    </row>
    <row r="127" spans="1:10" x14ac:dyDescent="0.3">
      <c r="A127" s="16">
        <v>45454</v>
      </c>
      <c r="B127" s="15">
        <v>67656</v>
      </c>
      <c r="C127" s="14" t="s">
        <v>16</v>
      </c>
      <c r="D127" s="15" t="s">
        <v>408</v>
      </c>
      <c r="E127" s="15">
        <v>10</v>
      </c>
      <c r="F127" s="15">
        <v>104</v>
      </c>
      <c r="G127" s="15" t="s">
        <v>15</v>
      </c>
      <c r="H127" s="15" t="s">
        <v>17</v>
      </c>
      <c r="I127" s="15" t="s">
        <v>74</v>
      </c>
      <c r="J127" s="16">
        <v>45462</v>
      </c>
    </row>
    <row r="128" spans="1:10" x14ac:dyDescent="0.3">
      <c r="A128" s="16">
        <v>45454</v>
      </c>
      <c r="B128" s="15" t="s">
        <v>86</v>
      </c>
      <c r="C128" s="14" t="s">
        <v>81</v>
      </c>
      <c r="D128" s="15" t="s">
        <v>409</v>
      </c>
      <c r="E128" s="15">
        <v>0</v>
      </c>
      <c r="F128" s="15" t="s">
        <v>86</v>
      </c>
      <c r="G128" s="15" t="s">
        <v>380</v>
      </c>
      <c r="H128" s="15" t="s">
        <v>17</v>
      </c>
      <c r="I128" s="15" t="s">
        <v>18</v>
      </c>
      <c r="J128" s="16" t="s">
        <v>86</v>
      </c>
    </row>
    <row r="129" spans="1:10" x14ac:dyDescent="0.3">
      <c r="A129" s="16">
        <v>45455</v>
      </c>
      <c r="B129" s="15" t="s">
        <v>86</v>
      </c>
      <c r="C129" s="14" t="s">
        <v>81</v>
      </c>
      <c r="D129" s="15" t="s">
        <v>410</v>
      </c>
      <c r="E129" s="15">
        <v>0</v>
      </c>
      <c r="F129" s="15" t="s">
        <v>86</v>
      </c>
      <c r="G129" s="15" t="s">
        <v>380</v>
      </c>
      <c r="H129" s="15" t="s">
        <v>17</v>
      </c>
      <c r="I129" s="15" t="s">
        <v>18</v>
      </c>
      <c r="J129" s="16" t="s">
        <v>86</v>
      </c>
    </row>
    <row r="130" spans="1:10" x14ac:dyDescent="0.3">
      <c r="A130" s="16">
        <v>45456</v>
      </c>
      <c r="B130" s="15" t="s">
        <v>86</v>
      </c>
      <c r="C130" s="14" t="s">
        <v>81</v>
      </c>
      <c r="D130" s="15" t="s">
        <v>411</v>
      </c>
      <c r="E130" s="15">
        <v>0</v>
      </c>
      <c r="F130" s="15" t="s">
        <v>86</v>
      </c>
      <c r="G130" s="15" t="s">
        <v>380</v>
      </c>
      <c r="H130" s="15" t="s">
        <v>17</v>
      </c>
      <c r="I130" s="15" t="s">
        <v>18</v>
      </c>
      <c r="J130" s="16" t="s">
        <v>86</v>
      </c>
    </row>
    <row r="131" spans="1:10" x14ac:dyDescent="0.3">
      <c r="A131" s="16">
        <v>45453</v>
      </c>
      <c r="B131" s="15">
        <v>67613</v>
      </c>
      <c r="C131" s="14" t="s">
        <v>73</v>
      </c>
      <c r="D131" s="15" t="s">
        <v>407</v>
      </c>
      <c r="E131" s="15">
        <v>10</v>
      </c>
      <c r="F131" s="15">
        <v>33</v>
      </c>
      <c r="G131" s="15" t="s">
        <v>15</v>
      </c>
      <c r="H131" s="15" t="s">
        <v>17</v>
      </c>
      <c r="I131" s="15" t="s">
        <v>74</v>
      </c>
      <c r="J131" s="16">
        <v>45469</v>
      </c>
    </row>
    <row r="132" spans="1:10" x14ac:dyDescent="0.3">
      <c r="A132" s="16">
        <v>45460</v>
      </c>
      <c r="B132" s="15" t="s">
        <v>86</v>
      </c>
      <c r="C132" s="14" t="s">
        <v>81</v>
      </c>
      <c r="D132" s="15" t="s">
        <v>413</v>
      </c>
      <c r="E132" s="15">
        <v>0</v>
      </c>
      <c r="F132" s="15" t="s">
        <v>86</v>
      </c>
      <c r="G132" s="15" t="s">
        <v>380</v>
      </c>
      <c r="H132" s="15" t="s">
        <v>17</v>
      </c>
      <c r="I132" s="15" t="s">
        <v>18</v>
      </c>
      <c r="J132" s="16" t="s">
        <v>86</v>
      </c>
    </row>
    <row r="133" spans="1:10" x14ac:dyDescent="0.3">
      <c r="A133" s="16">
        <v>45461</v>
      </c>
      <c r="B133" s="15" t="s">
        <v>86</v>
      </c>
      <c r="C133" s="14" t="s">
        <v>81</v>
      </c>
      <c r="D133" s="15" t="s">
        <v>414</v>
      </c>
      <c r="E133" s="15">
        <v>0</v>
      </c>
      <c r="F133" s="15" t="s">
        <v>86</v>
      </c>
      <c r="G133" s="15" t="s">
        <v>380</v>
      </c>
      <c r="H133" s="15" t="s">
        <v>17</v>
      </c>
      <c r="I133" s="15" t="s">
        <v>18</v>
      </c>
      <c r="J133" s="16" t="s">
        <v>86</v>
      </c>
    </row>
    <row r="134" spans="1:10" x14ac:dyDescent="0.3">
      <c r="A134" s="16">
        <v>45462</v>
      </c>
      <c r="B134" s="15" t="s">
        <v>86</v>
      </c>
      <c r="C134" s="14" t="s">
        <v>81</v>
      </c>
      <c r="D134" s="15" t="s">
        <v>415</v>
      </c>
      <c r="E134" s="15">
        <v>0</v>
      </c>
      <c r="F134" s="15" t="s">
        <v>86</v>
      </c>
      <c r="G134" s="15" t="s">
        <v>380</v>
      </c>
      <c r="H134" s="15" t="s">
        <v>17</v>
      </c>
      <c r="I134" s="15" t="s">
        <v>18</v>
      </c>
      <c r="J134" s="16" t="s">
        <v>86</v>
      </c>
    </row>
    <row r="135" spans="1:10" x14ac:dyDescent="0.3">
      <c r="A135" s="16">
        <v>45463</v>
      </c>
      <c r="B135" s="15" t="s">
        <v>86</v>
      </c>
      <c r="C135" s="14" t="s">
        <v>81</v>
      </c>
      <c r="D135" s="15" t="s">
        <v>416</v>
      </c>
      <c r="E135" s="15">
        <v>0</v>
      </c>
      <c r="F135" s="15" t="s">
        <v>86</v>
      </c>
      <c r="G135" s="15" t="s">
        <v>380</v>
      </c>
      <c r="H135" s="15" t="s">
        <v>17</v>
      </c>
      <c r="I135" s="15" t="s">
        <v>18</v>
      </c>
      <c r="J135" s="16" t="s">
        <v>86</v>
      </c>
    </row>
    <row r="136" spans="1:10" x14ac:dyDescent="0.3">
      <c r="A136" s="16">
        <v>45408</v>
      </c>
      <c r="B136" s="15">
        <v>66434</v>
      </c>
      <c r="C136" s="14" t="s">
        <v>73</v>
      </c>
      <c r="D136" s="15" t="s">
        <v>375</v>
      </c>
      <c r="E136" s="15">
        <v>10</v>
      </c>
      <c r="F136" s="15">
        <v>35</v>
      </c>
      <c r="G136" s="15" t="s">
        <v>15</v>
      </c>
      <c r="H136" s="15" t="s">
        <v>17</v>
      </c>
      <c r="I136" s="15" t="s">
        <v>74</v>
      </c>
      <c r="J136" s="16">
        <v>45519</v>
      </c>
    </row>
    <row r="137" spans="1:10" x14ac:dyDescent="0.3">
      <c r="A137" s="16">
        <v>45758</v>
      </c>
      <c r="B137" s="15" t="s">
        <v>86</v>
      </c>
      <c r="C137" s="14" t="s">
        <v>16</v>
      </c>
      <c r="D137" s="15" t="s">
        <v>376</v>
      </c>
      <c r="E137" s="15">
        <v>10</v>
      </c>
      <c r="F137" s="15">
        <v>35</v>
      </c>
      <c r="G137" s="15" t="s">
        <v>15</v>
      </c>
      <c r="H137" s="15" t="s">
        <v>72</v>
      </c>
      <c r="I137" s="15" t="s">
        <v>74</v>
      </c>
      <c r="J137" s="16">
        <v>45764</v>
      </c>
    </row>
    <row r="138" spans="1:10" x14ac:dyDescent="0.3">
      <c r="A138" s="16">
        <v>45464</v>
      </c>
      <c r="B138" s="15">
        <v>68028</v>
      </c>
      <c r="C138" s="14" t="s">
        <v>73</v>
      </c>
      <c r="D138" s="15" t="s">
        <v>417</v>
      </c>
      <c r="E138" s="15">
        <v>10</v>
      </c>
      <c r="F138" s="15">
        <v>64</v>
      </c>
      <c r="G138" s="15" t="s">
        <v>15</v>
      </c>
      <c r="H138" s="15" t="s">
        <v>17</v>
      </c>
      <c r="I138" s="15" t="s">
        <v>74</v>
      </c>
      <c r="J138" s="16">
        <v>45475</v>
      </c>
    </row>
    <row r="139" spans="1:10" x14ac:dyDescent="0.3">
      <c r="A139" s="16">
        <v>45464</v>
      </c>
      <c r="B139" s="15">
        <v>68028</v>
      </c>
      <c r="C139" s="14" t="s">
        <v>73</v>
      </c>
      <c r="D139" s="15" t="s">
        <v>417</v>
      </c>
      <c r="E139" s="15">
        <v>10</v>
      </c>
      <c r="F139" s="15">
        <v>66</v>
      </c>
      <c r="G139" s="15" t="s">
        <v>15</v>
      </c>
      <c r="H139" s="15" t="s">
        <v>17</v>
      </c>
      <c r="I139" s="15" t="s">
        <v>74</v>
      </c>
      <c r="J139" s="16">
        <v>45475</v>
      </c>
    </row>
    <row r="140" spans="1:10" x14ac:dyDescent="0.3">
      <c r="A140" s="16">
        <v>45464</v>
      </c>
      <c r="B140" s="15">
        <v>68028</v>
      </c>
      <c r="C140" s="14" t="s">
        <v>73</v>
      </c>
      <c r="D140" s="15" t="s">
        <v>417</v>
      </c>
      <c r="E140" s="15">
        <v>10</v>
      </c>
      <c r="F140" s="15">
        <v>78</v>
      </c>
      <c r="G140" s="15" t="s">
        <v>15</v>
      </c>
      <c r="H140" s="15" t="s">
        <v>17</v>
      </c>
      <c r="I140" s="15" t="s">
        <v>74</v>
      </c>
      <c r="J140" s="16">
        <v>45475</v>
      </c>
    </row>
    <row r="141" spans="1:10" x14ac:dyDescent="0.3">
      <c r="A141" s="16">
        <v>45488</v>
      </c>
      <c r="B141" s="15" t="s">
        <v>86</v>
      </c>
      <c r="C141" s="14" t="s">
        <v>73</v>
      </c>
      <c r="D141" s="15" t="s">
        <v>418</v>
      </c>
      <c r="E141" s="15">
        <v>32</v>
      </c>
      <c r="F141" s="15" t="s">
        <v>86</v>
      </c>
      <c r="G141" s="15" t="s">
        <v>15</v>
      </c>
      <c r="H141" s="15" t="s">
        <v>85</v>
      </c>
      <c r="I141" s="15" t="s">
        <v>74</v>
      </c>
      <c r="J141" s="16">
        <v>45500</v>
      </c>
    </row>
    <row r="142" spans="1:10" x14ac:dyDescent="0.3">
      <c r="A142" s="16">
        <v>45589</v>
      </c>
      <c r="B142" s="15" t="s">
        <v>86</v>
      </c>
      <c r="C142" s="14" t="s">
        <v>82</v>
      </c>
      <c r="D142" s="15" t="s">
        <v>395</v>
      </c>
      <c r="E142" s="15">
        <v>3</v>
      </c>
      <c r="F142" s="15" t="s">
        <v>86</v>
      </c>
      <c r="G142" s="15" t="s">
        <v>15</v>
      </c>
      <c r="H142" s="15" t="s">
        <v>85</v>
      </c>
      <c r="I142" s="15" t="s">
        <v>74</v>
      </c>
      <c r="J142" s="16">
        <v>45624</v>
      </c>
    </row>
    <row r="143" spans="1:10" x14ac:dyDescent="0.3">
      <c r="A143" s="16">
        <v>45619</v>
      </c>
      <c r="B143" s="15" t="s">
        <v>86</v>
      </c>
      <c r="C143" s="14" t="s">
        <v>81</v>
      </c>
      <c r="D143" s="15" t="s">
        <v>377</v>
      </c>
      <c r="E143" s="15">
        <v>10</v>
      </c>
      <c r="F143" s="15">
        <v>39</v>
      </c>
      <c r="G143" s="15" t="s">
        <v>15</v>
      </c>
      <c r="H143" s="15" t="s">
        <v>71</v>
      </c>
      <c r="I143" s="15" t="s">
        <v>18</v>
      </c>
      <c r="J143" s="16">
        <v>45639</v>
      </c>
    </row>
    <row r="144" spans="1:10" x14ac:dyDescent="0.3">
      <c r="A144" s="16">
        <v>45464</v>
      </c>
      <c r="B144" s="15">
        <v>68028</v>
      </c>
      <c r="C144" s="14" t="s">
        <v>73</v>
      </c>
      <c r="D144" s="15" t="s">
        <v>417</v>
      </c>
      <c r="E144" s="15">
        <v>10</v>
      </c>
      <c r="F144" s="15">
        <v>45</v>
      </c>
      <c r="G144" s="15" t="s">
        <v>15</v>
      </c>
      <c r="H144" s="15" t="s">
        <v>17</v>
      </c>
      <c r="I144" s="15" t="s">
        <v>74</v>
      </c>
      <c r="J144" s="16">
        <v>45475</v>
      </c>
    </row>
    <row r="145" spans="1:10" x14ac:dyDescent="0.3">
      <c r="A145" s="16">
        <v>45608</v>
      </c>
      <c r="B145" s="15" t="s">
        <v>86</v>
      </c>
      <c r="C145" s="14" t="s">
        <v>82</v>
      </c>
      <c r="D145" s="15" t="s">
        <v>394</v>
      </c>
      <c r="E145" s="15">
        <v>0</v>
      </c>
      <c r="F145" s="15" t="s">
        <v>86</v>
      </c>
      <c r="G145" s="15" t="s">
        <v>380</v>
      </c>
      <c r="H145" s="15" t="s">
        <v>71</v>
      </c>
      <c r="I145" s="15" t="s">
        <v>18</v>
      </c>
      <c r="J145" s="16" t="s">
        <v>86</v>
      </c>
    </row>
    <row r="146" spans="1:10" x14ac:dyDescent="0.3">
      <c r="A146" s="16">
        <v>45608</v>
      </c>
      <c r="B146" s="15" t="s">
        <v>86</v>
      </c>
      <c r="C146" s="14" t="s">
        <v>82</v>
      </c>
      <c r="D146" s="15" t="s">
        <v>393</v>
      </c>
      <c r="E146" s="15">
        <v>0</v>
      </c>
      <c r="F146" s="15" t="s">
        <v>86</v>
      </c>
      <c r="G146" s="15" t="s">
        <v>380</v>
      </c>
      <c r="H146" s="15" t="s">
        <v>71</v>
      </c>
      <c r="I146" s="15" t="s">
        <v>18</v>
      </c>
      <c r="J146" s="16" t="s">
        <v>86</v>
      </c>
    </row>
    <row r="147" spans="1:10" x14ac:dyDescent="0.3">
      <c r="A147" s="16">
        <v>45609</v>
      </c>
      <c r="B147" s="15" t="s">
        <v>86</v>
      </c>
      <c r="C147" s="14" t="s">
        <v>82</v>
      </c>
      <c r="D147" s="15" t="s">
        <v>392</v>
      </c>
      <c r="E147" s="15">
        <v>0</v>
      </c>
      <c r="F147" s="15" t="s">
        <v>86</v>
      </c>
      <c r="G147" s="15" t="s">
        <v>380</v>
      </c>
      <c r="H147" s="15" t="s">
        <v>71</v>
      </c>
      <c r="I147" s="15" t="s">
        <v>18</v>
      </c>
      <c r="J147" s="16" t="s">
        <v>86</v>
      </c>
    </row>
    <row r="148" spans="1:10" x14ac:dyDescent="0.3">
      <c r="A148" s="16">
        <v>45609</v>
      </c>
      <c r="B148" s="15" t="s">
        <v>86</v>
      </c>
      <c r="C148" s="14" t="s">
        <v>82</v>
      </c>
      <c r="D148" s="15" t="s">
        <v>378</v>
      </c>
      <c r="E148" s="15">
        <v>0</v>
      </c>
      <c r="F148" s="15" t="s">
        <v>86</v>
      </c>
      <c r="G148" s="15" t="s">
        <v>380</v>
      </c>
      <c r="H148" s="15" t="s">
        <v>71</v>
      </c>
      <c r="I148" s="15" t="s">
        <v>18</v>
      </c>
      <c r="J148" s="16" t="s">
        <v>86</v>
      </c>
    </row>
    <row r="149" spans="1:10" x14ac:dyDescent="0.3">
      <c r="A149" s="16">
        <v>45610</v>
      </c>
      <c r="B149" s="15" t="s">
        <v>86</v>
      </c>
      <c r="C149" s="14" t="s">
        <v>73</v>
      </c>
      <c r="D149" s="15" t="s">
        <v>418</v>
      </c>
      <c r="E149" s="15">
        <v>0</v>
      </c>
      <c r="F149" s="15" t="s">
        <v>86</v>
      </c>
      <c r="G149" s="15" t="s">
        <v>380</v>
      </c>
      <c r="H149" s="15" t="s">
        <v>71</v>
      </c>
      <c r="I149" s="15" t="s">
        <v>18</v>
      </c>
      <c r="J149" s="16" t="s">
        <v>86</v>
      </c>
    </row>
    <row r="150" spans="1:10" x14ac:dyDescent="0.3">
      <c r="A150" s="16">
        <v>45610</v>
      </c>
      <c r="B150" s="15" t="s">
        <v>86</v>
      </c>
      <c r="C150" s="14" t="s">
        <v>73</v>
      </c>
      <c r="D150" s="15" t="s">
        <v>406</v>
      </c>
      <c r="E150" s="15">
        <v>0</v>
      </c>
      <c r="F150" s="15" t="s">
        <v>86</v>
      </c>
      <c r="G150" s="15" t="s">
        <v>380</v>
      </c>
      <c r="H150" s="15" t="s">
        <v>71</v>
      </c>
      <c r="I150" s="15" t="s">
        <v>18</v>
      </c>
      <c r="J150" s="16" t="s">
        <v>86</v>
      </c>
    </row>
    <row r="151" spans="1:10" x14ac:dyDescent="0.3">
      <c r="A151" s="16">
        <v>45615</v>
      </c>
      <c r="B151" s="15" t="s">
        <v>86</v>
      </c>
      <c r="C151" s="14" t="s">
        <v>82</v>
      </c>
      <c r="D151" s="15" t="s">
        <v>396</v>
      </c>
      <c r="E151" s="15">
        <v>0</v>
      </c>
      <c r="F151" s="15" t="s">
        <v>86</v>
      </c>
      <c r="G151" s="15" t="s">
        <v>380</v>
      </c>
      <c r="H151" s="15" t="s">
        <v>71</v>
      </c>
      <c r="I151" s="15" t="s">
        <v>18</v>
      </c>
      <c r="J151" s="16" t="s">
        <v>86</v>
      </c>
    </row>
    <row r="152" spans="1:10" x14ac:dyDescent="0.3">
      <c r="A152" s="16">
        <v>45616</v>
      </c>
      <c r="B152" s="15" t="s">
        <v>86</v>
      </c>
      <c r="C152" s="14" t="s">
        <v>82</v>
      </c>
      <c r="D152" s="15" t="s">
        <v>395</v>
      </c>
      <c r="E152" s="15">
        <v>0</v>
      </c>
      <c r="F152" s="15" t="s">
        <v>86</v>
      </c>
      <c r="G152" s="15" t="s">
        <v>380</v>
      </c>
      <c r="H152" s="15" t="s">
        <v>71</v>
      </c>
      <c r="I152" s="15" t="s">
        <v>18</v>
      </c>
      <c r="J152" s="16" t="s">
        <v>86</v>
      </c>
    </row>
    <row r="153" spans="1:10" x14ac:dyDescent="0.3">
      <c r="A153" s="16">
        <v>45616</v>
      </c>
      <c r="B153" s="15" t="s">
        <v>86</v>
      </c>
      <c r="C153" s="14" t="s">
        <v>73</v>
      </c>
      <c r="D153" s="15" t="s">
        <v>405</v>
      </c>
      <c r="E153" s="15">
        <v>0</v>
      </c>
      <c r="F153" s="15" t="s">
        <v>86</v>
      </c>
      <c r="G153" s="15" t="s">
        <v>380</v>
      </c>
      <c r="H153" s="15" t="s">
        <v>71</v>
      </c>
      <c r="I153" s="15" t="s">
        <v>18</v>
      </c>
      <c r="J153" s="16" t="s">
        <v>86</v>
      </c>
    </row>
    <row r="154" spans="1:10" x14ac:dyDescent="0.3">
      <c r="A154" s="16">
        <v>45617</v>
      </c>
      <c r="B154" s="15" t="s">
        <v>86</v>
      </c>
      <c r="C154" s="14" t="s">
        <v>82</v>
      </c>
      <c r="D154" s="15" t="s">
        <v>400</v>
      </c>
      <c r="E154" s="15">
        <v>0</v>
      </c>
      <c r="F154" s="15" t="s">
        <v>86</v>
      </c>
      <c r="G154" s="15" t="s">
        <v>380</v>
      </c>
      <c r="H154" s="15" t="s">
        <v>71</v>
      </c>
      <c r="I154" s="15" t="s">
        <v>18</v>
      </c>
      <c r="J154" s="16" t="s">
        <v>86</v>
      </c>
    </row>
    <row r="155" spans="1:10" x14ac:dyDescent="0.3">
      <c r="A155" s="16">
        <v>45617</v>
      </c>
      <c r="B155" s="15" t="s">
        <v>86</v>
      </c>
      <c r="C155" s="14" t="s">
        <v>16</v>
      </c>
      <c r="D155" s="15" t="s">
        <v>390</v>
      </c>
      <c r="E155" s="15">
        <v>0</v>
      </c>
      <c r="F155" s="15" t="s">
        <v>86</v>
      </c>
      <c r="G155" s="15" t="s">
        <v>380</v>
      </c>
      <c r="H155" s="15" t="s">
        <v>71</v>
      </c>
      <c r="I155" s="15" t="s">
        <v>18</v>
      </c>
      <c r="J155" s="16" t="s">
        <v>86</v>
      </c>
    </row>
    <row r="156" spans="1:10" x14ac:dyDescent="0.3">
      <c r="A156" s="16">
        <v>45619</v>
      </c>
      <c r="B156" s="15" t="s">
        <v>86</v>
      </c>
      <c r="C156" s="14" t="s">
        <v>81</v>
      </c>
      <c r="D156" s="15" t="s">
        <v>373</v>
      </c>
      <c r="E156" s="15">
        <v>0</v>
      </c>
      <c r="F156" s="15" t="s">
        <v>86</v>
      </c>
      <c r="G156" s="15" t="s">
        <v>380</v>
      </c>
      <c r="H156" s="15" t="s">
        <v>71</v>
      </c>
      <c r="I156" s="15" t="s">
        <v>18</v>
      </c>
      <c r="J156" s="16" t="s">
        <v>86</v>
      </c>
    </row>
    <row r="157" spans="1:10" x14ac:dyDescent="0.3">
      <c r="A157" s="16">
        <v>45630</v>
      </c>
      <c r="B157" s="15">
        <v>67373</v>
      </c>
      <c r="C157" s="14" t="s">
        <v>73</v>
      </c>
      <c r="D157" s="15" t="s">
        <v>401</v>
      </c>
      <c r="E157" s="15">
        <v>10</v>
      </c>
      <c r="F157" s="15">
        <v>45</v>
      </c>
      <c r="G157" s="15" t="s">
        <v>15</v>
      </c>
      <c r="H157" s="15" t="s">
        <v>71</v>
      </c>
      <c r="I157" s="15" t="s">
        <v>18</v>
      </c>
      <c r="J157" s="16">
        <v>45631</v>
      </c>
    </row>
    <row r="158" spans="1:10" x14ac:dyDescent="0.3">
      <c r="A158" s="16">
        <v>45384</v>
      </c>
      <c r="B158" s="15">
        <v>66158</v>
      </c>
      <c r="C158" s="14" t="s">
        <v>16</v>
      </c>
      <c r="D158" s="15" t="s">
        <v>372</v>
      </c>
      <c r="E158" s="15">
        <v>10</v>
      </c>
      <c r="F158" s="15">
        <v>46</v>
      </c>
      <c r="G158" s="15" t="s">
        <v>15</v>
      </c>
      <c r="H158" s="15" t="s">
        <v>17</v>
      </c>
      <c r="I158" s="15" t="s">
        <v>74</v>
      </c>
      <c r="J158" s="16">
        <v>45580</v>
      </c>
    </row>
    <row r="159" spans="1:10" x14ac:dyDescent="0.3">
      <c r="A159" s="16">
        <v>45621</v>
      </c>
      <c r="B159" s="15" t="s">
        <v>86</v>
      </c>
      <c r="C159" s="14" t="s">
        <v>73</v>
      </c>
      <c r="D159" s="15" t="s">
        <v>404</v>
      </c>
      <c r="E159" s="15">
        <v>0</v>
      </c>
      <c r="F159" s="15" t="s">
        <v>86</v>
      </c>
      <c r="G159" s="15" t="s">
        <v>380</v>
      </c>
      <c r="H159" s="15" t="s">
        <v>71</v>
      </c>
      <c r="I159" s="15" t="s">
        <v>18</v>
      </c>
      <c r="J159" s="16" t="s">
        <v>86</v>
      </c>
    </row>
    <row r="160" spans="1:10" x14ac:dyDescent="0.3">
      <c r="A160" s="16">
        <v>45622</v>
      </c>
      <c r="B160" s="15">
        <v>75616</v>
      </c>
      <c r="C160" s="14" t="s">
        <v>16</v>
      </c>
      <c r="D160" s="15" t="s">
        <v>408</v>
      </c>
      <c r="E160" s="15">
        <v>3</v>
      </c>
      <c r="F160" s="15" t="s">
        <v>86</v>
      </c>
      <c r="G160" s="15" t="s">
        <v>15</v>
      </c>
      <c r="H160" s="15" t="s">
        <v>85</v>
      </c>
      <c r="I160" s="15" t="s">
        <v>74</v>
      </c>
      <c r="J160" s="16">
        <v>45643</v>
      </c>
    </row>
    <row r="161" spans="1:10" x14ac:dyDescent="0.3">
      <c r="A161" s="16">
        <v>45623</v>
      </c>
      <c r="B161" s="15" t="s">
        <v>86</v>
      </c>
      <c r="C161" s="14" t="s">
        <v>16</v>
      </c>
      <c r="D161" s="15" t="s">
        <v>391</v>
      </c>
      <c r="E161" s="15">
        <v>0</v>
      </c>
      <c r="F161" s="15" t="s">
        <v>86</v>
      </c>
      <c r="G161" s="15" t="s">
        <v>380</v>
      </c>
      <c r="H161" s="15" t="s">
        <v>71</v>
      </c>
      <c r="I161" s="15" t="s">
        <v>18</v>
      </c>
      <c r="J161" s="16" t="s">
        <v>86</v>
      </c>
    </row>
    <row r="162" spans="1:10" x14ac:dyDescent="0.3">
      <c r="A162" s="16">
        <v>45623</v>
      </c>
      <c r="B162" s="15" t="s">
        <v>86</v>
      </c>
      <c r="C162" s="14" t="s">
        <v>73</v>
      </c>
      <c r="D162" s="15" t="s">
        <v>419</v>
      </c>
      <c r="E162" s="15">
        <v>0</v>
      </c>
      <c r="F162" s="15" t="s">
        <v>86</v>
      </c>
      <c r="G162" s="15" t="s">
        <v>380</v>
      </c>
      <c r="H162" s="15" t="s">
        <v>71</v>
      </c>
      <c r="I162" s="15" t="s">
        <v>18</v>
      </c>
      <c r="J162" s="16" t="s">
        <v>86</v>
      </c>
    </row>
    <row r="163" spans="1:10" x14ac:dyDescent="0.3">
      <c r="A163" s="16">
        <v>45623</v>
      </c>
      <c r="B163" s="15" t="s">
        <v>86</v>
      </c>
      <c r="C163" s="14" t="s">
        <v>81</v>
      </c>
      <c r="D163" s="15" t="s">
        <v>413</v>
      </c>
      <c r="E163" s="15">
        <v>0</v>
      </c>
      <c r="F163" s="15" t="s">
        <v>86</v>
      </c>
      <c r="G163" s="15" t="s">
        <v>380</v>
      </c>
      <c r="H163" s="15" t="s">
        <v>71</v>
      </c>
      <c r="I163" s="15" t="s">
        <v>18</v>
      </c>
      <c r="J163" s="16" t="s">
        <v>86</v>
      </c>
    </row>
    <row r="164" spans="1:10" x14ac:dyDescent="0.3">
      <c r="A164" s="16">
        <v>45623</v>
      </c>
      <c r="B164" s="15" t="s">
        <v>86</v>
      </c>
      <c r="C164" s="14" t="s">
        <v>16</v>
      </c>
      <c r="D164" s="15" t="s">
        <v>386</v>
      </c>
      <c r="E164" s="15">
        <v>0</v>
      </c>
      <c r="F164" s="15" t="s">
        <v>86</v>
      </c>
      <c r="G164" s="15" t="s">
        <v>380</v>
      </c>
      <c r="H164" s="15" t="s">
        <v>71</v>
      </c>
      <c r="I164" s="15" t="s">
        <v>18</v>
      </c>
      <c r="J164" s="16" t="s">
        <v>86</v>
      </c>
    </row>
    <row r="165" spans="1:10" x14ac:dyDescent="0.3">
      <c r="A165" s="16">
        <v>45624</v>
      </c>
      <c r="B165" s="15" t="s">
        <v>86</v>
      </c>
      <c r="C165" s="14" t="s">
        <v>73</v>
      </c>
      <c r="D165" s="15" t="s">
        <v>375</v>
      </c>
      <c r="E165" s="15">
        <v>0</v>
      </c>
      <c r="F165" s="15" t="s">
        <v>86</v>
      </c>
      <c r="G165" s="15" t="s">
        <v>380</v>
      </c>
      <c r="H165" s="15" t="s">
        <v>71</v>
      </c>
      <c r="I165" s="15" t="s">
        <v>18</v>
      </c>
      <c r="J165" s="16" t="s">
        <v>86</v>
      </c>
    </row>
    <row r="166" spans="1:10" x14ac:dyDescent="0.3">
      <c r="A166" s="16">
        <v>45624</v>
      </c>
      <c r="B166" s="15" t="s">
        <v>86</v>
      </c>
      <c r="C166" s="14" t="s">
        <v>73</v>
      </c>
      <c r="D166" s="15" t="s">
        <v>407</v>
      </c>
      <c r="E166" s="15">
        <v>0</v>
      </c>
      <c r="F166" s="15" t="s">
        <v>86</v>
      </c>
      <c r="G166" s="15" t="s">
        <v>380</v>
      </c>
      <c r="H166" s="15" t="s">
        <v>71</v>
      </c>
      <c r="I166" s="15" t="s">
        <v>18</v>
      </c>
      <c r="J166" s="16" t="s">
        <v>86</v>
      </c>
    </row>
    <row r="167" spans="1:10" x14ac:dyDescent="0.3">
      <c r="A167" s="16">
        <v>45624</v>
      </c>
      <c r="B167" s="15" t="s">
        <v>86</v>
      </c>
      <c r="C167" s="14" t="s">
        <v>82</v>
      </c>
      <c r="D167" s="15" t="s">
        <v>398</v>
      </c>
      <c r="E167" s="15">
        <v>0</v>
      </c>
      <c r="F167" s="15" t="s">
        <v>86</v>
      </c>
      <c r="G167" s="15" t="s">
        <v>380</v>
      </c>
      <c r="H167" s="15" t="s">
        <v>71</v>
      </c>
      <c r="I167" s="15" t="s">
        <v>18</v>
      </c>
      <c r="J167" s="16" t="s">
        <v>86</v>
      </c>
    </row>
    <row r="168" spans="1:10" x14ac:dyDescent="0.3">
      <c r="A168" s="16">
        <v>45624</v>
      </c>
      <c r="B168" s="15" t="s">
        <v>86</v>
      </c>
      <c r="C168" s="14" t="s">
        <v>82</v>
      </c>
      <c r="D168" s="15" t="s">
        <v>379</v>
      </c>
      <c r="E168" s="15">
        <v>0</v>
      </c>
      <c r="F168" s="15" t="s">
        <v>86</v>
      </c>
      <c r="G168" s="15" t="s">
        <v>380</v>
      </c>
      <c r="H168" s="15" t="s">
        <v>71</v>
      </c>
      <c r="I168" s="15" t="s">
        <v>18</v>
      </c>
      <c r="J168" s="16" t="s">
        <v>86</v>
      </c>
    </row>
    <row r="169" spans="1:10" x14ac:dyDescent="0.3">
      <c r="A169" s="16">
        <v>45624</v>
      </c>
      <c r="B169" s="15" t="s">
        <v>86</v>
      </c>
      <c r="C169" s="14" t="s">
        <v>81</v>
      </c>
      <c r="D169" s="15" t="s">
        <v>409</v>
      </c>
      <c r="E169" s="15">
        <v>0</v>
      </c>
      <c r="F169" s="15" t="s">
        <v>86</v>
      </c>
      <c r="G169" s="15" t="s">
        <v>380</v>
      </c>
      <c r="H169" s="15" t="s">
        <v>71</v>
      </c>
      <c r="I169" s="15" t="s">
        <v>18</v>
      </c>
      <c r="J169" s="16" t="s">
        <v>86</v>
      </c>
    </row>
    <row r="170" spans="1:10" x14ac:dyDescent="0.3">
      <c r="A170" s="16">
        <v>45625</v>
      </c>
      <c r="B170" s="15" t="s">
        <v>86</v>
      </c>
      <c r="C170" s="14" t="s">
        <v>82</v>
      </c>
      <c r="D170" s="15" t="s">
        <v>399</v>
      </c>
      <c r="E170" s="15">
        <v>0</v>
      </c>
      <c r="F170" s="15" t="s">
        <v>86</v>
      </c>
      <c r="G170" s="15" t="s">
        <v>380</v>
      </c>
      <c r="H170" s="15" t="s">
        <v>71</v>
      </c>
      <c r="I170" s="15" t="s">
        <v>18</v>
      </c>
      <c r="J170" s="16" t="s">
        <v>86</v>
      </c>
    </row>
    <row r="171" spans="1:10" x14ac:dyDescent="0.3">
      <c r="A171" s="16">
        <v>45626</v>
      </c>
      <c r="B171" s="15" t="s">
        <v>86</v>
      </c>
      <c r="C171" s="14" t="s">
        <v>82</v>
      </c>
      <c r="D171" s="15" t="s">
        <v>397</v>
      </c>
      <c r="E171" s="15">
        <v>0</v>
      </c>
      <c r="F171" s="15" t="s">
        <v>86</v>
      </c>
      <c r="G171" s="15" t="s">
        <v>380</v>
      </c>
      <c r="H171" s="15" t="s">
        <v>71</v>
      </c>
      <c r="I171" s="15" t="s">
        <v>18</v>
      </c>
      <c r="J171" s="16" t="s">
        <v>86</v>
      </c>
    </row>
    <row r="172" spans="1:10" x14ac:dyDescent="0.3">
      <c r="A172" s="16">
        <v>45628</v>
      </c>
      <c r="B172" s="15" t="s">
        <v>86</v>
      </c>
      <c r="C172" s="14" t="s">
        <v>73</v>
      </c>
      <c r="D172" s="15" t="s">
        <v>374</v>
      </c>
      <c r="E172" s="15">
        <v>0</v>
      </c>
      <c r="F172" s="15" t="s">
        <v>86</v>
      </c>
      <c r="G172" s="15" t="s">
        <v>380</v>
      </c>
      <c r="H172" s="15" t="s">
        <v>71</v>
      </c>
      <c r="I172" s="15" t="s">
        <v>18</v>
      </c>
      <c r="J172" s="16" t="s">
        <v>86</v>
      </c>
    </row>
    <row r="173" spans="1:10" x14ac:dyDescent="0.3">
      <c r="A173" s="16">
        <v>45628</v>
      </c>
      <c r="B173" s="15" t="s">
        <v>86</v>
      </c>
      <c r="C173" s="14" t="s">
        <v>81</v>
      </c>
      <c r="D173" s="15" t="s">
        <v>412</v>
      </c>
      <c r="E173" s="15">
        <v>0</v>
      </c>
      <c r="F173" s="15" t="s">
        <v>86</v>
      </c>
      <c r="G173" s="15" t="s">
        <v>380</v>
      </c>
      <c r="H173" s="15" t="s">
        <v>71</v>
      </c>
      <c r="I173" s="15" t="s">
        <v>18</v>
      </c>
      <c r="J173" s="16" t="s">
        <v>86</v>
      </c>
    </row>
    <row r="174" spans="1:10" x14ac:dyDescent="0.3">
      <c r="A174" s="16">
        <v>45629</v>
      </c>
      <c r="B174" s="15" t="s">
        <v>86</v>
      </c>
      <c r="C174" s="14" t="s">
        <v>16</v>
      </c>
      <c r="D174" s="15" t="s">
        <v>387</v>
      </c>
      <c r="E174" s="15">
        <v>0</v>
      </c>
      <c r="F174" s="15" t="s">
        <v>86</v>
      </c>
      <c r="G174" s="15" t="s">
        <v>380</v>
      </c>
      <c r="H174" s="15" t="s">
        <v>71</v>
      </c>
      <c r="I174" s="15" t="s">
        <v>18</v>
      </c>
      <c r="J174" s="16" t="s">
        <v>86</v>
      </c>
    </row>
    <row r="175" spans="1:10" x14ac:dyDescent="0.3">
      <c r="A175" s="16">
        <v>45415</v>
      </c>
      <c r="B175" s="15">
        <v>66933</v>
      </c>
      <c r="C175" s="14" t="s">
        <v>81</v>
      </c>
      <c r="D175" s="15" t="s">
        <v>377</v>
      </c>
      <c r="E175" s="15">
        <v>10</v>
      </c>
      <c r="F175" s="15">
        <v>47</v>
      </c>
      <c r="G175" s="15" t="s">
        <v>15</v>
      </c>
      <c r="H175" s="15" t="s">
        <v>17</v>
      </c>
      <c r="I175" s="15" t="s">
        <v>74</v>
      </c>
      <c r="J175" s="16">
        <v>45558</v>
      </c>
    </row>
    <row r="176" spans="1:10" x14ac:dyDescent="0.3">
      <c r="A176" s="16">
        <v>45629</v>
      </c>
      <c r="B176" s="15" t="s">
        <v>86</v>
      </c>
      <c r="C176" s="14" t="s">
        <v>81</v>
      </c>
      <c r="D176" s="15" t="s">
        <v>414</v>
      </c>
      <c r="E176" s="15">
        <v>0</v>
      </c>
      <c r="F176" s="15" t="s">
        <v>86</v>
      </c>
      <c r="G176" s="15" t="s">
        <v>380</v>
      </c>
      <c r="H176" s="15" t="s">
        <v>71</v>
      </c>
      <c r="I176" s="15" t="s">
        <v>18</v>
      </c>
      <c r="J176" s="16" t="s">
        <v>86</v>
      </c>
    </row>
    <row r="177" spans="1:10" x14ac:dyDescent="0.3">
      <c r="A177" s="16">
        <v>45629</v>
      </c>
      <c r="B177" s="15" t="s">
        <v>86</v>
      </c>
      <c r="C177" s="14" t="s">
        <v>16</v>
      </c>
      <c r="D177" s="15" t="s">
        <v>385</v>
      </c>
      <c r="E177" s="15">
        <v>0</v>
      </c>
      <c r="F177" s="15" t="s">
        <v>86</v>
      </c>
      <c r="G177" s="15" t="s">
        <v>380</v>
      </c>
      <c r="H177" s="15" t="s">
        <v>71</v>
      </c>
      <c r="I177" s="15" t="s">
        <v>18</v>
      </c>
      <c r="J177" s="16" t="s">
        <v>86</v>
      </c>
    </row>
    <row r="178" spans="1:10" x14ac:dyDescent="0.3">
      <c r="A178" s="16">
        <v>45384</v>
      </c>
      <c r="B178" s="15">
        <v>66158</v>
      </c>
      <c r="C178" s="14" t="s">
        <v>16</v>
      </c>
      <c r="D178" s="15" t="s">
        <v>372</v>
      </c>
      <c r="E178" s="15">
        <v>10</v>
      </c>
      <c r="F178" s="15">
        <v>48</v>
      </c>
      <c r="G178" s="15" t="s">
        <v>15</v>
      </c>
      <c r="H178" s="15" t="s">
        <v>17</v>
      </c>
      <c r="I178" s="15" t="s">
        <v>74</v>
      </c>
      <c r="J178" s="16">
        <v>45580</v>
      </c>
    </row>
    <row r="179" spans="1:10" x14ac:dyDescent="0.3">
      <c r="A179" s="16">
        <v>45630</v>
      </c>
      <c r="B179" s="15" t="s">
        <v>86</v>
      </c>
      <c r="C179" s="14" t="s">
        <v>73</v>
      </c>
      <c r="D179" s="15" t="s">
        <v>403</v>
      </c>
      <c r="E179" s="15">
        <v>0</v>
      </c>
      <c r="F179" s="15" t="s">
        <v>86</v>
      </c>
      <c r="G179" s="15" t="s">
        <v>380</v>
      </c>
      <c r="H179" s="15" t="s">
        <v>71</v>
      </c>
      <c r="I179" s="15" t="s">
        <v>18</v>
      </c>
      <c r="J179" s="16" t="s">
        <v>86</v>
      </c>
    </row>
    <row r="180" spans="1:10" x14ac:dyDescent="0.3">
      <c r="A180" s="16">
        <v>45630</v>
      </c>
      <c r="B180" s="15" t="s">
        <v>86</v>
      </c>
      <c r="C180" s="14" t="s">
        <v>81</v>
      </c>
      <c r="D180" s="15" t="s">
        <v>383</v>
      </c>
      <c r="E180" s="15">
        <v>0</v>
      </c>
      <c r="F180" s="15" t="s">
        <v>86</v>
      </c>
      <c r="G180" s="15" t="s">
        <v>380</v>
      </c>
      <c r="H180" s="15" t="s">
        <v>71</v>
      </c>
      <c r="I180" s="15" t="s">
        <v>18</v>
      </c>
      <c r="J180" s="16">
        <v>45630</v>
      </c>
    </row>
    <row r="181" spans="1:10" x14ac:dyDescent="0.3">
      <c r="A181" s="16">
        <v>45631</v>
      </c>
      <c r="B181" s="15" t="s">
        <v>86</v>
      </c>
      <c r="C181" s="14" t="s">
        <v>81</v>
      </c>
      <c r="D181" s="15" t="s">
        <v>410</v>
      </c>
      <c r="E181" s="15">
        <v>0</v>
      </c>
      <c r="F181" s="15" t="s">
        <v>86</v>
      </c>
      <c r="G181" s="15" t="s">
        <v>380</v>
      </c>
      <c r="H181" s="15" t="s">
        <v>71</v>
      </c>
      <c r="I181" s="15" t="s">
        <v>18</v>
      </c>
      <c r="J181" s="16" t="s">
        <v>86</v>
      </c>
    </row>
    <row r="182" spans="1:10" x14ac:dyDescent="0.3">
      <c r="A182" s="16">
        <v>45632</v>
      </c>
      <c r="B182" s="15" t="s">
        <v>86</v>
      </c>
      <c r="C182" s="14" t="s">
        <v>16</v>
      </c>
      <c r="D182" s="15" t="s">
        <v>384</v>
      </c>
      <c r="E182" s="15">
        <v>0</v>
      </c>
      <c r="F182" s="15" t="s">
        <v>86</v>
      </c>
      <c r="G182" s="15" t="s">
        <v>380</v>
      </c>
      <c r="H182" s="15" t="s">
        <v>71</v>
      </c>
      <c r="I182" s="15" t="s">
        <v>18</v>
      </c>
      <c r="J182" s="16" t="s">
        <v>86</v>
      </c>
    </row>
    <row r="183" spans="1:10" x14ac:dyDescent="0.3">
      <c r="A183" s="16">
        <v>45635</v>
      </c>
      <c r="B183" s="15" t="s">
        <v>86</v>
      </c>
      <c r="C183" s="14" t="s">
        <v>73</v>
      </c>
      <c r="D183" s="15" t="s">
        <v>381</v>
      </c>
      <c r="E183" s="15">
        <v>10</v>
      </c>
      <c r="F183" s="15">
        <v>83</v>
      </c>
      <c r="G183" s="15" t="s">
        <v>15</v>
      </c>
      <c r="H183" s="15" t="s">
        <v>71</v>
      </c>
      <c r="I183" s="15" t="s">
        <v>74</v>
      </c>
      <c r="J183" s="16">
        <v>45636</v>
      </c>
    </row>
    <row r="184" spans="1:10" x14ac:dyDescent="0.3">
      <c r="A184" s="16">
        <v>45637</v>
      </c>
      <c r="B184" s="15" t="s">
        <v>86</v>
      </c>
      <c r="C184" s="14" t="s">
        <v>73</v>
      </c>
      <c r="D184" s="15" t="s">
        <v>382</v>
      </c>
      <c r="E184" s="15">
        <v>0</v>
      </c>
      <c r="F184" s="15" t="s">
        <v>86</v>
      </c>
      <c r="G184" s="15" t="s">
        <v>380</v>
      </c>
      <c r="H184" s="15" t="s">
        <v>71</v>
      </c>
      <c r="I184" s="15" t="s">
        <v>18</v>
      </c>
      <c r="J184" s="16" t="s">
        <v>86</v>
      </c>
    </row>
    <row r="185" spans="1:10" x14ac:dyDescent="0.3">
      <c r="A185" s="16">
        <v>45637</v>
      </c>
      <c r="B185" s="15" t="s">
        <v>86</v>
      </c>
      <c r="C185" s="14" t="s">
        <v>16</v>
      </c>
      <c r="D185" s="15" t="s">
        <v>408</v>
      </c>
      <c r="E185" s="15">
        <v>0</v>
      </c>
      <c r="F185" s="15" t="s">
        <v>86</v>
      </c>
      <c r="G185" s="15" t="s">
        <v>380</v>
      </c>
      <c r="H185" s="15" t="s">
        <v>71</v>
      </c>
      <c r="I185" s="15" t="s">
        <v>18</v>
      </c>
      <c r="J185" s="16" t="s">
        <v>86</v>
      </c>
    </row>
    <row r="186" spans="1:10" x14ac:dyDescent="0.3">
      <c r="A186" s="16">
        <v>45639</v>
      </c>
      <c r="B186" s="15" t="s">
        <v>86</v>
      </c>
      <c r="C186" s="14" t="s">
        <v>81</v>
      </c>
      <c r="D186" s="15" t="s">
        <v>411</v>
      </c>
      <c r="E186" s="15">
        <v>0</v>
      </c>
      <c r="F186" s="15" t="s">
        <v>86</v>
      </c>
      <c r="G186" s="15" t="s">
        <v>380</v>
      </c>
      <c r="H186" s="15" t="s">
        <v>71</v>
      </c>
      <c r="I186" s="15" t="s">
        <v>18</v>
      </c>
      <c r="J186" s="16" t="s">
        <v>86</v>
      </c>
    </row>
    <row r="187" spans="1:10" x14ac:dyDescent="0.3">
      <c r="A187" s="16">
        <v>45639</v>
      </c>
      <c r="B187" s="15" t="s">
        <v>86</v>
      </c>
      <c r="C187" s="14" t="s">
        <v>73</v>
      </c>
      <c r="D187" s="15" t="s">
        <v>417</v>
      </c>
      <c r="E187" s="15">
        <v>0</v>
      </c>
      <c r="F187" s="15" t="s">
        <v>86</v>
      </c>
      <c r="G187" s="15" t="s">
        <v>380</v>
      </c>
      <c r="H187" s="15" t="s">
        <v>71</v>
      </c>
      <c r="I187" s="15" t="s">
        <v>18</v>
      </c>
      <c r="J187" s="16" t="s">
        <v>86</v>
      </c>
    </row>
    <row r="188" spans="1:10" x14ac:dyDescent="0.3">
      <c r="A188" s="16">
        <v>45639</v>
      </c>
      <c r="B188" s="15" t="s">
        <v>86</v>
      </c>
      <c r="C188" s="14" t="s">
        <v>81</v>
      </c>
      <c r="D188" s="15" t="s">
        <v>416</v>
      </c>
      <c r="E188" s="15">
        <v>0</v>
      </c>
      <c r="F188" s="15" t="s">
        <v>86</v>
      </c>
      <c r="G188" s="15" t="s">
        <v>380</v>
      </c>
      <c r="H188" s="15" t="s">
        <v>71</v>
      </c>
      <c r="I188" s="15" t="s">
        <v>18</v>
      </c>
      <c r="J188" s="16" t="s">
        <v>86</v>
      </c>
    </row>
    <row r="189" spans="1:10" x14ac:dyDescent="0.3">
      <c r="A189" s="16">
        <v>45642</v>
      </c>
      <c r="B189" s="15" t="s">
        <v>86</v>
      </c>
      <c r="C189" s="14" t="s">
        <v>16</v>
      </c>
      <c r="D189" s="15" t="s">
        <v>389</v>
      </c>
      <c r="E189" s="15">
        <v>0</v>
      </c>
      <c r="F189" s="15" t="s">
        <v>86</v>
      </c>
      <c r="G189" s="15" t="s">
        <v>380</v>
      </c>
      <c r="H189" s="15" t="s">
        <v>71</v>
      </c>
      <c r="I189" s="15" t="s">
        <v>18</v>
      </c>
      <c r="J189" s="16" t="s">
        <v>86</v>
      </c>
    </row>
    <row r="190" spans="1:10" x14ac:dyDescent="0.3">
      <c r="A190" s="16">
        <v>45642</v>
      </c>
      <c r="B190" s="15" t="s">
        <v>86</v>
      </c>
      <c r="C190" s="14" t="s">
        <v>16</v>
      </c>
      <c r="D190" s="15" t="s">
        <v>388</v>
      </c>
      <c r="E190" s="15">
        <v>0</v>
      </c>
      <c r="F190" s="15" t="s">
        <v>86</v>
      </c>
      <c r="G190" s="15" t="s">
        <v>380</v>
      </c>
      <c r="H190" s="15" t="s">
        <v>71</v>
      </c>
      <c r="I190" s="15" t="s">
        <v>18</v>
      </c>
      <c r="J190" s="16" t="s">
        <v>86</v>
      </c>
    </row>
    <row r="191" spans="1:10" x14ac:dyDescent="0.3">
      <c r="A191" s="16">
        <v>45644</v>
      </c>
      <c r="B191" s="15" t="s">
        <v>86</v>
      </c>
      <c r="C191" s="14" t="s">
        <v>81</v>
      </c>
      <c r="D191" s="15" t="s">
        <v>415</v>
      </c>
      <c r="E191" s="15">
        <v>0</v>
      </c>
      <c r="F191" s="15" t="s">
        <v>86</v>
      </c>
      <c r="G191" s="15" t="s">
        <v>380</v>
      </c>
      <c r="H191" s="15" t="s">
        <v>71</v>
      </c>
      <c r="I191" s="15" t="s">
        <v>18</v>
      </c>
      <c r="J191" s="16" t="s">
        <v>86</v>
      </c>
    </row>
    <row r="192" spans="1:10" x14ac:dyDescent="0.3">
      <c r="A192" s="16">
        <v>45644</v>
      </c>
      <c r="B192" s="15" t="s">
        <v>86</v>
      </c>
      <c r="C192" s="14" t="s">
        <v>16</v>
      </c>
      <c r="D192" s="15" t="s">
        <v>372</v>
      </c>
      <c r="E192" s="15">
        <v>10</v>
      </c>
      <c r="F192" s="15">
        <v>1</v>
      </c>
      <c r="G192" s="15" t="s">
        <v>15</v>
      </c>
      <c r="H192" s="15" t="s">
        <v>71</v>
      </c>
      <c r="I192" s="15" t="s">
        <v>18</v>
      </c>
      <c r="J192" s="16">
        <v>45645</v>
      </c>
    </row>
    <row r="193" spans="1:10" x14ac:dyDescent="0.3">
      <c r="A193" s="16">
        <v>45733</v>
      </c>
      <c r="B193" s="15" t="s">
        <v>86</v>
      </c>
      <c r="C193" s="14" t="s">
        <v>16</v>
      </c>
      <c r="D193" s="15" t="s">
        <v>385</v>
      </c>
      <c r="E193" s="15">
        <v>0</v>
      </c>
      <c r="F193" s="15" t="s">
        <v>86</v>
      </c>
      <c r="G193" s="15" t="s">
        <v>380</v>
      </c>
      <c r="H193" s="15" t="s">
        <v>72</v>
      </c>
      <c r="I193" s="15" t="s">
        <v>18</v>
      </c>
      <c r="J193" s="16" t="s">
        <v>86</v>
      </c>
    </row>
    <row r="194" spans="1:10" x14ac:dyDescent="0.3">
      <c r="A194" s="16">
        <v>45734</v>
      </c>
      <c r="B194" s="15" t="s">
        <v>86</v>
      </c>
      <c r="C194" s="14" t="s">
        <v>16</v>
      </c>
      <c r="D194" s="15" t="s">
        <v>389</v>
      </c>
      <c r="E194" s="15">
        <v>0</v>
      </c>
      <c r="F194" s="15" t="s">
        <v>86</v>
      </c>
      <c r="G194" s="15" t="s">
        <v>380</v>
      </c>
      <c r="H194" s="15" t="s">
        <v>72</v>
      </c>
      <c r="I194" s="15" t="s">
        <v>18</v>
      </c>
      <c r="J194" s="16" t="s">
        <v>86</v>
      </c>
    </row>
    <row r="195" spans="1:10" x14ac:dyDescent="0.3">
      <c r="A195" s="16">
        <v>45735</v>
      </c>
      <c r="B195" s="15" t="s">
        <v>86</v>
      </c>
      <c r="C195" s="14" t="s">
        <v>81</v>
      </c>
      <c r="D195" s="15" t="s">
        <v>414</v>
      </c>
      <c r="E195" s="15">
        <v>0</v>
      </c>
      <c r="F195" s="15" t="s">
        <v>86</v>
      </c>
      <c r="G195" s="15" t="s">
        <v>380</v>
      </c>
      <c r="H195" s="15" t="s">
        <v>72</v>
      </c>
      <c r="I195" s="15" t="s">
        <v>18</v>
      </c>
      <c r="J195" s="16" t="s">
        <v>86</v>
      </c>
    </row>
    <row r="196" spans="1:10" x14ac:dyDescent="0.3">
      <c r="A196" s="16">
        <v>45736</v>
      </c>
      <c r="B196" s="15" t="s">
        <v>86</v>
      </c>
      <c r="C196" s="14" t="s">
        <v>81</v>
      </c>
      <c r="D196" s="15" t="s">
        <v>377</v>
      </c>
      <c r="E196" s="15">
        <v>10</v>
      </c>
      <c r="F196" s="15">
        <v>90</v>
      </c>
      <c r="G196" s="15" t="s">
        <v>15</v>
      </c>
      <c r="H196" s="15" t="s">
        <v>72</v>
      </c>
      <c r="I196" s="15" t="s">
        <v>74</v>
      </c>
      <c r="J196" s="16">
        <v>45737</v>
      </c>
    </row>
    <row r="197" spans="1:10" x14ac:dyDescent="0.3">
      <c r="A197" s="16">
        <v>45736</v>
      </c>
      <c r="B197" s="15" t="s">
        <v>86</v>
      </c>
      <c r="C197" s="14" t="s">
        <v>81</v>
      </c>
      <c r="D197" s="15" t="s">
        <v>377</v>
      </c>
      <c r="E197" s="15">
        <v>10</v>
      </c>
      <c r="F197" s="15">
        <v>92</v>
      </c>
      <c r="G197" s="15" t="s">
        <v>15</v>
      </c>
      <c r="H197" s="15" t="s">
        <v>72</v>
      </c>
      <c r="I197" s="15" t="s">
        <v>74</v>
      </c>
      <c r="J197" s="16">
        <v>45737</v>
      </c>
    </row>
    <row r="198" spans="1:10" x14ac:dyDescent="0.3">
      <c r="A198" s="16">
        <v>45737</v>
      </c>
      <c r="B198" s="15" t="s">
        <v>86</v>
      </c>
      <c r="C198" s="14" t="s">
        <v>81</v>
      </c>
      <c r="D198" s="15" t="s">
        <v>413</v>
      </c>
      <c r="E198" s="15">
        <v>0</v>
      </c>
      <c r="F198" s="15" t="s">
        <v>86</v>
      </c>
      <c r="G198" s="15" t="s">
        <v>380</v>
      </c>
      <c r="H198" s="15" t="s">
        <v>72</v>
      </c>
      <c r="I198" s="15" t="s">
        <v>18</v>
      </c>
      <c r="J198" s="16" t="s">
        <v>86</v>
      </c>
    </row>
    <row r="199" spans="1:10" x14ac:dyDescent="0.3">
      <c r="A199" s="16">
        <v>45740</v>
      </c>
      <c r="B199" s="15" t="s">
        <v>86</v>
      </c>
      <c r="C199" s="14" t="s">
        <v>81</v>
      </c>
      <c r="D199" s="15" t="s">
        <v>409</v>
      </c>
      <c r="E199" s="15">
        <v>0</v>
      </c>
      <c r="F199" s="15" t="s">
        <v>86</v>
      </c>
      <c r="G199" s="15" t="s">
        <v>380</v>
      </c>
      <c r="H199" s="15" t="s">
        <v>72</v>
      </c>
      <c r="I199" s="15" t="s">
        <v>18</v>
      </c>
      <c r="J199" s="16" t="s">
        <v>86</v>
      </c>
    </row>
    <row r="200" spans="1:10" x14ac:dyDescent="0.3">
      <c r="A200" s="16">
        <v>45741</v>
      </c>
      <c r="B200" s="15" t="s">
        <v>86</v>
      </c>
      <c r="C200" s="14" t="s">
        <v>73</v>
      </c>
      <c r="D200" s="15" t="s">
        <v>404</v>
      </c>
      <c r="E200" s="15">
        <v>0</v>
      </c>
      <c r="F200" s="15" t="s">
        <v>86</v>
      </c>
      <c r="G200" s="15" t="s">
        <v>380</v>
      </c>
      <c r="H200" s="15" t="s">
        <v>72</v>
      </c>
      <c r="I200" s="15" t="s">
        <v>18</v>
      </c>
      <c r="J200" s="16" t="s">
        <v>86</v>
      </c>
    </row>
    <row r="201" spans="1:10" x14ac:dyDescent="0.3">
      <c r="A201" s="16">
        <v>45742</v>
      </c>
      <c r="B201" s="15" t="s">
        <v>86</v>
      </c>
      <c r="C201" s="14" t="s">
        <v>73</v>
      </c>
      <c r="D201" s="15" t="s">
        <v>418</v>
      </c>
      <c r="E201" s="15">
        <v>0</v>
      </c>
      <c r="F201" s="15" t="s">
        <v>86</v>
      </c>
      <c r="G201" s="15" t="s">
        <v>380</v>
      </c>
      <c r="H201" s="15" t="s">
        <v>72</v>
      </c>
      <c r="I201" s="15" t="s">
        <v>18</v>
      </c>
      <c r="J201" s="16" t="s">
        <v>86</v>
      </c>
    </row>
    <row r="202" spans="1:10" x14ac:dyDescent="0.3">
      <c r="A202" s="16">
        <v>45748</v>
      </c>
      <c r="B202" s="15" t="s">
        <v>86</v>
      </c>
      <c r="C202" s="14" t="s">
        <v>73</v>
      </c>
      <c r="D202" s="15" t="s">
        <v>374</v>
      </c>
      <c r="E202" s="15">
        <v>0</v>
      </c>
      <c r="F202" s="15" t="s">
        <v>86</v>
      </c>
      <c r="G202" s="15" t="s">
        <v>380</v>
      </c>
      <c r="H202" s="15" t="s">
        <v>72</v>
      </c>
      <c r="I202" s="15" t="s">
        <v>18</v>
      </c>
      <c r="J202" s="16" t="s">
        <v>86</v>
      </c>
    </row>
    <row r="203" spans="1:10" x14ac:dyDescent="0.3">
      <c r="A203" s="16">
        <v>45447</v>
      </c>
      <c r="B203" s="15">
        <v>67315</v>
      </c>
      <c r="C203" s="14" t="s">
        <v>82</v>
      </c>
      <c r="D203" s="15" t="s">
        <v>399</v>
      </c>
      <c r="E203" s="15">
        <v>10</v>
      </c>
      <c r="F203" s="15">
        <v>51</v>
      </c>
      <c r="G203" s="15" t="s">
        <v>15</v>
      </c>
      <c r="H203" s="15" t="s">
        <v>17</v>
      </c>
      <c r="I203" s="15" t="s">
        <v>74</v>
      </c>
      <c r="J203" s="16">
        <v>45468</v>
      </c>
    </row>
    <row r="204" spans="1:10" x14ac:dyDescent="0.3">
      <c r="A204" s="16">
        <v>45749</v>
      </c>
      <c r="B204" s="15" t="s">
        <v>86</v>
      </c>
      <c r="C204" s="14" t="s">
        <v>73</v>
      </c>
      <c r="D204" s="15" t="s">
        <v>382</v>
      </c>
      <c r="E204" s="15">
        <v>10</v>
      </c>
      <c r="F204" s="15">
        <v>113</v>
      </c>
      <c r="G204" s="15" t="s">
        <v>15</v>
      </c>
      <c r="H204" s="15" t="s">
        <v>72</v>
      </c>
      <c r="I204" s="15" t="s">
        <v>74</v>
      </c>
      <c r="J204" s="16">
        <v>45750</v>
      </c>
    </row>
    <row r="205" spans="1:10" x14ac:dyDescent="0.3">
      <c r="A205" s="16">
        <v>45751</v>
      </c>
      <c r="B205" s="15" t="s">
        <v>86</v>
      </c>
      <c r="C205" s="14" t="s">
        <v>16</v>
      </c>
      <c r="D205" s="15" t="s">
        <v>384</v>
      </c>
      <c r="E205" s="15">
        <v>0</v>
      </c>
      <c r="F205" s="15" t="s">
        <v>86</v>
      </c>
      <c r="G205" s="15" t="s">
        <v>380</v>
      </c>
      <c r="H205" s="15" t="s">
        <v>72</v>
      </c>
      <c r="I205" s="15" t="s">
        <v>18</v>
      </c>
      <c r="J205" s="16" t="s">
        <v>86</v>
      </c>
    </row>
    <row r="206" spans="1:10" x14ac:dyDescent="0.3">
      <c r="A206" s="16">
        <v>45754</v>
      </c>
      <c r="B206" s="15" t="s">
        <v>86</v>
      </c>
      <c r="C206" s="14" t="s">
        <v>16</v>
      </c>
      <c r="D206" s="15" t="s">
        <v>408</v>
      </c>
      <c r="E206" s="15">
        <v>0</v>
      </c>
      <c r="F206" s="15" t="s">
        <v>86</v>
      </c>
      <c r="G206" s="15" t="s">
        <v>380</v>
      </c>
      <c r="H206" s="15" t="s">
        <v>72</v>
      </c>
      <c r="I206" s="15" t="s">
        <v>18</v>
      </c>
      <c r="J206" s="16" t="s">
        <v>86</v>
      </c>
    </row>
    <row r="207" spans="1:10" x14ac:dyDescent="0.3">
      <c r="A207" s="16">
        <v>45755</v>
      </c>
      <c r="B207" s="15" t="s">
        <v>86</v>
      </c>
      <c r="C207" s="14" t="s">
        <v>16</v>
      </c>
      <c r="D207" s="15" t="s">
        <v>372</v>
      </c>
      <c r="E207" s="15">
        <v>0</v>
      </c>
      <c r="F207" s="15" t="s">
        <v>86</v>
      </c>
      <c r="G207" s="15" t="s">
        <v>380</v>
      </c>
      <c r="H207" s="15" t="s">
        <v>72</v>
      </c>
      <c r="I207" s="15" t="s">
        <v>18</v>
      </c>
      <c r="J207" s="16" t="s">
        <v>86</v>
      </c>
    </row>
    <row r="208" spans="1:10" x14ac:dyDescent="0.3">
      <c r="A208" s="16">
        <v>45756</v>
      </c>
      <c r="B208" s="15" t="s">
        <v>86</v>
      </c>
      <c r="C208" s="14" t="s">
        <v>16</v>
      </c>
      <c r="D208" s="15" t="s">
        <v>386</v>
      </c>
      <c r="E208" s="15">
        <v>0</v>
      </c>
      <c r="F208" s="15" t="s">
        <v>86</v>
      </c>
      <c r="G208" s="15" t="s">
        <v>380</v>
      </c>
      <c r="H208" s="15" t="s">
        <v>72</v>
      </c>
      <c r="I208" s="15" t="s">
        <v>18</v>
      </c>
      <c r="J208" s="16" t="s">
        <v>86</v>
      </c>
    </row>
    <row r="209" spans="1:10" x14ac:dyDescent="0.3">
      <c r="A209" s="16">
        <v>45757</v>
      </c>
      <c r="B209" s="15" t="s">
        <v>86</v>
      </c>
      <c r="C209" s="14" t="s">
        <v>16</v>
      </c>
      <c r="D209" s="15" t="s">
        <v>387</v>
      </c>
      <c r="E209" s="15">
        <v>0</v>
      </c>
      <c r="F209" s="15" t="s">
        <v>86</v>
      </c>
      <c r="G209" s="15" t="s">
        <v>380</v>
      </c>
      <c r="H209" s="15" t="s">
        <v>72</v>
      </c>
      <c r="I209" s="15" t="s">
        <v>18</v>
      </c>
      <c r="J209" s="16" t="s">
        <v>86</v>
      </c>
    </row>
    <row r="210" spans="1:10" x14ac:dyDescent="0.3">
      <c r="A210" s="16">
        <v>45448</v>
      </c>
      <c r="B210" s="15">
        <v>67373</v>
      </c>
      <c r="C210" s="14" t="s">
        <v>73</v>
      </c>
      <c r="D210" s="15" t="s">
        <v>401</v>
      </c>
      <c r="E210" s="15">
        <v>10</v>
      </c>
      <c r="F210" s="15">
        <v>52</v>
      </c>
      <c r="G210" s="15" t="s">
        <v>15</v>
      </c>
      <c r="H210" s="15" t="s">
        <v>17</v>
      </c>
      <c r="I210" s="15" t="s">
        <v>74</v>
      </c>
      <c r="J210" s="16">
        <v>45463</v>
      </c>
    </row>
    <row r="211" spans="1:10" x14ac:dyDescent="0.3">
      <c r="A211" s="16">
        <v>45384</v>
      </c>
      <c r="B211" s="15">
        <v>66158</v>
      </c>
      <c r="C211" s="14" t="s">
        <v>16</v>
      </c>
      <c r="D211" s="15" t="s">
        <v>372</v>
      </c>
      <c r="E211" s="15">
        <v>10</v>
      </c>
      <c r="F211" s="15">
        <v>55</v>
      </c>
      <c r="G211" s="15" t="s">
        <v>15</v>
      </c>
      <c r="H211" s="15" t="s">
        <v>17</v>
      </c>
      <c r="I211" s="15" t="s">
        <v>74</v>
      </c>
      <c r="J211" s="16">
        <v>45580</v>
      </c>
    </row>
    <row r="212" spans="1:10" x14ac:dyDescent="0.3">
      <c r="A212" s="16">
        <v>45384</v>
      </c>
      <c r="B212" s="15">
        <v>66158</v>
      </c>
      <c r="C212" s="14" t="s">
        <v>16</v>
      </c>
      <c r="D212" s="15" t="s">
        <v>372</v>
      </c>
      <c r="E212" s="15">
        <v>10</v>
      </c>
      <c r="F212" s="15">
        <v>56</v>
      </c>
      <c r="G212" s="15" t="s">
        <v>15</v>
      </c>
      <c r="H212" s="15" t="s">
        <v>17</v>
      </c>
      <c r="I212" s="15" t="s">
        <v>74</v>
      </c>
      <c r="J212" s="16">
        <v>45580</v>
      </c>
    </row>
    <row r="213" spans="1:10" x14ac:dyDescent="0.3">
      <c r="A213" s="16">
        <v>45429</v>
      </c>
      <c r="B213" s="15">
        <v>66935</v>
      </c>
      <c r="C213" s="14" t="s">
        <v>81</v>
      </c>
      <c r="D213" s="15" t="s">
        <v>383</v>
      </c>
      <c r="E213" s="15">
        <v>10</v>
      </c>
      <c r="F213" s="15">
        <v>56</v>
      </c>
      <c r="G213" s="15" t="s">
        <v>15</v>
      </c>
      <c r="H213" s="15" t="s">
        <v>17</v>
      </c>
      <c r="I213" s="15" t="s">
        <v>74</v>
      </c>
      <c r="J213" s="16">
        <v>45472</v>
      </c>
    </row>
    <row r="214" spans="1:10" x14ac:dyDescent="0.3">
      <c r="A214" s="16">
        <v>45749</v>
      </c>
      <c r="B214" s="15" t="s">
        <v>86</v>
      </c>
      <c r="C214" s="14" t="s">
        <v>73</v>
      </c>
      <c r="D214" s="15" t="s">
        <v>382</v>
      </c>
      <c r="E214" s="15">
        <v>10</v>
      </c>
      <c r="F214" s="15">
        <v>56</v>
      </c>
      <c r="G214" s="15" t="s">
        <v>15</v>
      </c>
      <c r="H214" s="15" t="s">
        <v>72</v>
      </c>
      <c r="I214" s="15" t="s">
        <v>74</v>
      </c>
      <c r="J214" s="16">
        <v>45750</v>
      </c>
    </row>
    <row r="215" spans="1:10" x14ac:dyDescent="0.3">
      <c r="A215" s="16">
        <v>45758</v>
      </c>
      <c r="B215" s="15" t="s">
        <v>86</v>
      </c>
      <c r="C215" s="14" t="s">
        <v>16</v>
      </c>
      <c r="D215" s="15" t="s">
        <v>376</v>
      </c>
      <c r="E215" s="15">
        <v>10</v>
      </c>
      <c r="F215" s="15">
        <v>61</v>
      </c>
      <c r="G215" s="15" t="s">
        <v>15</v>
      </c>
      <c r="H215" s="15" t="s">
        <v>72</v>
      </c>
      <c r="I215" s="15" t="s">
        <v>74</v>
      </c>
      <c r="J215" s="16">
        <v>45764</v>
      </c>
    </row>
    <row r="216" spans="1:10" x14ac:dyDescent="0.3">
      <c r="A216" s="16">
        <v>45758</v>
      </c>
      <c r="B216" s="15" t="s">
        <v>86</v>
      </c>
      <c r="C216" s="14" t="s">
        <v>16</v>
      </c>
      <c r="D216" s="15" t="s">
        <v>376</v>
      </c>
      <c r="E216" s="15">
        <v>10</v>
      </c>
      <c r="F216" s="15">
        <v>74</v>
      </c>
      <c r="G216" s="15" t="s">
        <v>15</v>
      </c>
      <c r="H216" s="15" t="s">
        <v>72</v>
      </c>
      <c r="I216" s="15" t="s">
        <v>74</v>
      </c>
      <c r="J216" s="16">
        <v>45764</v>
      </c>
    </row>
    <row r="217" spans="1:10" x14ac:dyDescent="0.3">
      <c r="A217" s="16">
        <v>45758</v>
      </c>
      <c r="B217" s="15" t="s">
        <v>86</v>
      </c>
      <c r="C217" s="14" t="s">
        <v>16</v>
      </c>
      <c r="D217" s="15" t="s">
        <v>376</v>
      </c>
      <c r="E217" s="15">
        <v>10</v>
      </c>
      <c r="F217" s="15">
        <v>75</v>
      </c>
      <c r="G217" s="15" t="s">
        <v>15</v>
      </c>
      <c r="H217" s="15" t="s">
        <v>72</v>
      </c>
      <c r="I217" s="15" t="s">
        <v>74</v>
      </c>
      <c r="J217" s="16">
        <v>45764</v>
      </c>
    </row>
    <row r="218" spans="1:10" x14ac:dyDescent="0.3">
      <c r="A218" s="16">
        <v>45758</v>
      </c>
      <c r="B218" s="15" t="s">
        <v>86</v>
      </c>
      <c r="C218" s="14" t="s">
        <v>16</v>
      </c>
      <c r="D218" s="15" t="s">
        <v>376</v>
      </c>
      <c r="E218" s="15">
        <v>10</v>
      </c>
      <c r="F218" s="15">
        <v>79</v>
      </c>
      <c r="G218" s="15" t="s">
        <v>15</v>
      </c>
      <c r="H218" s="15" t="s">
        <v>72</v>
      </c>
      <c r="I218" s="15" t="s">
        <v>74</v>
      </c>
      <c r="J218" s="16">
        <v>45764</v>
      </c>
    </row>
    <row r="219" spans="1:10" x14ac:dyDescent="0.3">
      <c r="A219" s="16">
        <v>45758</v>
      </c>
      <c r="B219" s="15" t="s">
        <v>86</v>
      </c>
      <c r="C219" s="14" t="s">
        <v>16</v>
      </c>
      <c r="D219" s="15" t="s">
        <v>376</v>
      </c>
      <c r="E219" s="15">
        <v>10</v>
      </c>
      <c r="F219" s="15">
        <v>80</v>
      </c>
      <c r="G219" s="15" t="s">
        <v>15</v>
      </c>
      <c r="H219" s="15" t="s">
        <v>72</v>
      </c>
      <c r="I219" s="15" t="s">
        <v>74</v>
      </c>
      <c r="J219" s="16">
        <v>45764</v>
      </c>
    </row>
    <row r="220" spans="1:10" x14ac:dyDescent="0.3">
      <c r="A220" s="16">
        <v>45758</v>
      </c>
      <c r="B220" s="15" t="s">
        <v>86</v>
      </c>
      <c r="C220" s="14" t="s">
        <v>16</v>
      </c>
      <c r="D220" s="15" t="s">
        <v>376</v>
      </c>
      <c r="E220" s="15">
        <v>10</v>
      </c>
      <c r="F220" s="15">
        <v>81</v>
      </c>
      <c r="G220" s="15" t="s">
        <v>15</v>
      </c>
      <c r="H220" s="15" t="s">
        <v>72</v>
      </c>
      <c r="I220" s="15" t="s">
        <v>74</v>
      </c>
      <c r="J220" s="16">
        <v>45764</v>
      </c>
    </row>
    <row r="221" spans="1:10" x14ac:dyDescent="0.3">
      <c r="A221" s="16">
        <v>45758</v>
      </c>
      <c r="B221" s="15" t="s">
        <v>86</v>
      </c>
      <c r="C221" s="14" t="s">
        <v>16</v>
      </c>
      <c r="D221" s="15" t="s">
        <v>376</v>
      </c>
      <c r="E221" s="15">
        <v>10</v>
      </c>
      <c r="F221" s="15">
        <v>82</v>
      </c>
      <c r="G221" s="15" t="s">
        <v>15</v>
      </c>
      <c r="H221" s="15" t="s">
        <v>72</v>
      </c>
      <c r="I221" s="15" t="s">
        <v>74</v>
      </c>
      <c r="J221" s="16">
        <v>45764</v>
      </c>
    </row>
    <row r="222" spans="1:10" x14ac:dyDescent="0.3">
      <c r="A222" s="16">
        <v>45758</v>
      </c>
      <c r="B222" s="15" t="s">
        <v>86</v>
      </c>
      <c r="C222" s="14" t="s">
        <v>16</v>
      </c>
      <c r="D222" s="15" t="s">
        <v>376</v>
      </c>
      <c r="E222" s="15">
        <v>10</v>
      </c>
      <c r="F222" s="15">
        <v>83</v>
      </c>
      <c r="G222" s="15" t="s">
        <v>15</v>
      </c>
      <c r="H222" s="15" t="s">
        <v>72</v>
      </c>
      <c r="I222" s="15" t="s">
        <v>74</v>
      </c>
      <c r="J222" s="16">
        <v>45764</v>
      </c>
    </row>
    <row r="223" spans="1:10" x14ac:dyDescent="0.3">
      <c r="A223" s="16">
        <v>45758</v>
      </c>
      <c r="B223" s="15" t="s">
        <v>86</v>
      </c>
      <c r="C223" s="14" t="s">
        <v>16</v>
      </c>
      <c r="D223" s="15" t="s">
        <v>376</v>
      </c>
      <c r="E223" s="15">
        <v>10</v>
      </c>
      <c r="F223" s="15">
        <v>93</v>
      </c>
      <c r="G223" s="15" t="s">
        <v>15</v>
      </c>
      <c r="H223" s="15" t="s">
        <v>72</v>
      </c>
      <c r="I223" s="15" t="s">
        <v>74</v>
      </c>
      <c r="J223" s="16">
        <v>45764</v>
      </c>
    </row>
    <row r="224" spans="1:10" x14ac:dyDescent="0.3">
      <c r="A224" s="16">
        <v>45758</v>
      </c>
      <c r="B224" s="15" t="s">
        <v>86</v>
      </c>
      <c r="C224" s="14" t="s">
        <v>16</v>
      </c>
      <c r="D224" s="15" t="s">
        <v>376</v>
      </c>
      <c r="E224" s="15">
        <v>10</v>
      </c>
      <c r="F224" s="15">
        <v>97</v>
      </c>
      <c r="G224" s="15" t="s">
        <v>15</v>
      </c>
      <c r="H224" s="15" t="s">
        <v>72</v>
      </c>
      <c r="I224" s="15" t="s">
        <v>74</v>
      </c>
      <c r="J224" s="16">
        <v>45764</v>
      </c>
    </row>
    <row r="225" spans="1:10" x14ac:dyDescent="0.3">
      <c r="A225" s="16">
        <v>45758</v>
      </c>
      <c r="B225" s="15" t="s">
        <v>86</v>
      </c>
      <c r="C225" s="14" t="s">
        <v>16</v>
      </c>
      <c r="D225" s="15" t="s">
        <v>376</v>
      </c>
      <c r="E225" s="15">
        <v>10</v>
      </c>
      <c r="F225" s="15">
        <v>98</v>
      </c>
      <c r="G225" s="15" t="s">
        <v>15</v>
      </c>
      <c r="H225" s="15" t="s">
        <v>72</v>
      </c>
      <c r="I225" s="15" t="s">
        <v>74</v>
      </c>
      <c r="J225" s="16">
        <v>45764</v>
      </c>
    </row>
    <row r="226" spans="1:10" x14ac:dyDescent="0.3">
      <c r="A226" s="16">
        <v>45758</v>
      </c>
      <c r="B226" s="15" t="s">
        <v>86</v>
      </c>
      <c r="C226" s="14" t="s">
        <v>16</v>
      </c>
      <c r="D226" s="15" t="s">
        <v>376</v>
      </c>
      <c r="E226" s="15">
        <v>10</v>
      </c>
      <c r="F226" s="15">
        <v>107</v>
      </c>
      <c r="G226" s="15" t="s">
        <v>15</v>
      </c>
      <c r="H226" s="15" t="s">
        <v>72</v>
      </c>
      <c r="I226" s="15" t="s">
        <v>74</v>
      </c>
      <c r="J226" s="16">
        <v>45764</v>
      </c>
    </row>
    <row r="227" spans="1:10" x14ac:dyDescent="0.3">
      <c r="A227" s="16">
        <v>45758</v>
      </c>
      <c r="B227" s="15" t="s">
        <v>86</v>
      </c>
      <c r="C227" s="14" t="s">
        <v>16</v>
      </c>
      <c r="D227" s="15" t="s">
        <v>376</v>
      </c>
      <c r="E227" s="15">
        <v>10</v>
      </c>
      <c r="F227" s="15">
        <v>108</v>
      </c>
      <c r="G227" s="15" t="s">
        <v>15</v>
      </c>
      <c r="H227" s="15" t="s">
        <v>72</v>
      </c>
      <c r="I227" s="15" t="s">
        <v>74</v>
      </c>
      <c r="J227" s="16">
        <v>45764</v>
      </c>
    </row>
    <row r="228" spans="1:10" x14ac:dyDescent="0.3">
      <c r="A228" s="16">
        <v>45769</v>
      </c>
      <c r="B228" s="15" t="s">
        <v>86</v>
      </c>
      <c r="C228" s="14" t="s">
        <v>16</v>
      </c>
      <c r="D228" s="15" t="s">
        <v>388</v>
      </c>
      <c r="E228" s="15">
        <v>0</v>
      </c>
      <c r="F228" s="15" t="s">
        <v>86</v>
      </c>
      <c r="G228" s="15" t="s">
        <v>380</v>
      </c>
      <c r="H228" s="15" t="s">
        <v>72</v>
      </c>
      <c r="I228" s="15" t="s">
        <v>18</v>
      </c>
      <c r="J228" s="16" t="s">
        <v>86</v>
      </c>
    </row>
    <row r="229" spans="1:10" x14ac:dyDescent="0.3">
      <c r="A229" s="16">
        <v>45384</v>
      </c>
      <c r="B229" s="15">
        <v>66159</v>
      </c>
      <c r="C229" s="14" t="s">
        <v>81</v>
      </c>
      <c r="D229" s="15" t="s">
        <v>373</v>
      </c>
      <c r="E229" s="15">
        <v>10</v>
      </c>
      <c r="F229" s="15">
        <v>57</v>
      </c>
      <c r="G229" s="15" t="s">
        <v>15</v>
      </c>
      <c r="H229" s="15" t="s">
        <v>17</v>
      </c>
      <c r="I229" s="15" t="s">
        <v>74</v>
      </c>
      <c r="J229" s="16">
        <v>45512</v>
      </c>
    </row>
    <row r="230" spans="1:10" x14ac:dyDescent="0.3">
      <c r="A230" s="16">
        <v>45429</v>
      </c>
      <c r="B230" s="15">
        <v>66935</v>
      </c>
      <c r="C230" s="14" t="s">
        <v>81</v>
      </c>
      <c r="D230" s="15" t="s">
        <v>383</v>
      </c>
      <c r="E230" s="15">
        <v>10</v>
      </c>
      <c r="F230" s="15">
        <v>57</v>
      </c>
      <c r="G230" s="15" t="s">
        <v>15</v>
      </c>
      <c r="H230" s="15" t="s">
        <v>17</v>
      </c>
      <c r="I230" s="15" t="s">
        <v>74</v>
      </c>
      <c r="J230" s="16">
        <v>45472</v>
      </c>
    </row>
    <row r="231" spans="1:10" x14ac:dyDescent="0.3">
      <c r="A231" s="16">
        <v>45457</v>
      </c>
      <c r="B231" s="15">
        <v>68766</v>
      </c>
      <c r="C231" s="14" t="s">
        <v>81</v>
      </c>
      <c r="D231" s="15" t="s">
        <v>412</v>
      </c>
      <c r="E231" s="15">
        <v>10</v>
      </c>
      <c r="F231" s="15">
        <v>57</v>
      </c>
      <c r="G231" s="15" t="s">
        <v>15</v>
      </c>
      <c r="H231" s="15" t="s">
        <v>17</v>
      </c>
      <c r="I231" s="15" t="s">
        <v>18</v>
      </c>
      <c r="J231" s="16">
        <v>45481</v>
      </c>
    </row>
    <row r="232" spans="1:10" x14ac:dyDescent="0.3">
      <c r="A232" s="16">
        <v>45770</v>
      </c>
      <c r="B232" s="15" t="s">
        <v>86</v>
      </c>
      <c r="C232" s="14" t="s">
        <v>16</v>
      </c>
      <c r="D232" s="15" t="s">
        <v>390</v>
      </c>
      <c r="E232" s="15">
        <v>10</v>
      </c>
      <c r="F232" s="15">
        <v>58</v>
      </c>
      <c r="G232" s="15" t="s">
        <v>15</v>
      </c>
      <c r="H232" s="15" t="s">
        <v>72</v>
      </c>
      <c r="I232" s="15" t="s">
        <v>74</v>
      </c>
      <c r="J232" s="16">
        <v>45772</v>
      </c>
    </row>
    <row r="233" spans="1:10" x14ac:dyDescent="0.3">
      <c r="A233" s="16">
        <v>45770</v>
      </c>
      <c r="B233" s="15" t="s">
        <v>86</v>
      </c>
      <c r="C233" s="14" t="s">
        <v>16</v>
      </c>
      <c r="D233" s="15" t="s">
        <v>390</v>
      </c>
      <c r="E233" s="15">
        <v>10</v>
      </c>
      <c r="F233" s="15">
        <v>62</v>
      </c>
      <c r="G233" s="15" t="s">
        <v>15</v>
      </c>
      <c r="H233" s="15" t="s">
        <v>72</v>
      </c>
      <c r="I233" s="15" t="s">
        <v>74</v>
      </c>
      <c r="J233" s="16">
        <v>45772</v>
      </c>
    </row>
    <row r="234" spans="1:10" x14ac:dyDescent="0.3">
      <c r="A234" s="16">
        <v>45770</v>
      </c>
      <c r="B234" s="15" t="s">
        <v>86</v>
      </c>
      <c r="C234" s="14" t="s">
        <v>16</v>
      </c>
      <c r="D234" s="15" t="s">
        <v>390</v>
      </c>
      <c r="E234" s="15">
        <v>10</v>
      </c>
      <c r="F234" s="15">
        <v>63</v>
      </c>
      <c r="G234" s="15" t="s">
        <v>15</v>
      </c>
      <c r="H234" s="15" t="s">
        <v>72</v>
      </c>
      <c r="I234" s="15" t="s">
        <v>74</v>
      </c>
      <c r="J234" s="16">
        <v>45772</v>
      </c>
    </row>
    <row r="235" spans="1:10" x14ac:dyDescent="0.3">
      <c r="A235" s="16">
        <v>45770</v>
      </c>
      <c r="B235" s="15" t="s">
        <v>86</v>
      </c>
      <c r="C235" s="14" t="s">
        <v>16</v>
      </c>
      <c r="D235" s="15" t="s">
        <v>390</v>
      </c>
      <c r="E235" s="15">
        <v>10</v>
      </c>
      <c r="F235" s="15">
        <v>65</v>
      </c>
      <c r="G235" s="15" t="s">
        <v>15</v>
      </c>
      <c r="H235" s="15" t="s">
        <v>72</v>
      </c>
      <c r="I235" s="15" t="s">
        <v>74</v>
      </c>
      <c r="J235" s="16">
        <v>45772</v>
      </c>
    </row>
    <row r="236" spans="1:10" x14ac:dyDescent="0.3">
      <c r="A236" s="16">
        <v>45770</v>
      </c>
      <c r="B236" s="15" t="s">
        <v>86</v>
      </c>
      <c r="C236" s="14" t="s">
        <v>16</v>
      </c>
      <c r="D236" s="15" t="s">
        <v>390</v>
      </c>
      <c r="E236" s="15">
        <v>10</v>
      </c>
      <c r="F236" s="15">
        <v>82</v>
      </c>
      <c r="G236" s="15" t="s">
        <v>15</v>
      </c>
      <c r="H236" s="15" t="s">
        <v>72</v>
      </c>
      <c r="I236" s="15" t="s">
        <v>74</v>
      </c>
      <c r="J236" s="16">
        <v>45772</v>
      </c>
    </row>
    <row r="237" spans="1:10" x14ac:dyDescent="0.3">
      <c r="A237" s="16">
        <v>45770</v>
      </c>
      <c r="B237" s="15" t="s">
        <v>86</v>
      </c>
      <c r="C237" s="14" t="s">
        <v>16</v>
      </c>
      <c r="D237" s="15" t="s">
        <v>390</v>
      </c>
      <c r="E237" s="15">
        <v>10</v>
      </c>
      <c r="F237" s="15">
        <v>83</v>
      </c>
      <c r="G237" s="15" t="s">
        <v>15</v>
      </c>
      <c r="H237" s="15" t="s">
        <v>72</v>
      </c>
      <c r="I237" s="15" t="s">
        <v>74</v>
      </c>
      <c r="J237" s="16">
        <v>45772</v>
      </c>
    </row>
    <row r="238" spans="1:10" x14ac:dyDescent="0.3">
      <c r="A238" s="16">
        <v>45770</v>
      </c>
      <c r="B238" s="15" t="s">
        <v>86</v>
      </c>
      <c r="C238" s="14" t="s">
        <v>16</v>
      </c>
      <c r="D238" s="15" t="s">
        <v>390</v>
      </c>
      <c r="E238" s="15">
        <v>10</v>
      </c>
      <c r="F238" s="15">
        <v>91</v>
      </c>
      <c r="G238" s="15" t="s">
        <v>15</v>
      </c>
      <c r="H238" s="15" t="s">
        <v>72</v>
      </c>
      <c r="I238" s="15" t="s">
        <v>74</v>
      </c>
      <c r="J238" s="16">
        <v>45772</v>
      </c>
    </row>
    <row r="239" spans="1:10" x14ac:dyDescent="0.3">
      <c r="A239" s="16">
        <v>45770</v>
      </c>
      <c r="B239" s="15" t="s">
        <v>86</v>
      </c>
      <c r="C239" s="14" t="s">
        <v>16</v>
      </c>
      <c r="D239" s="15" t="s">
        <v>390</v>
      </c>
      <c r="E239" s="15">
        <v>10</v>
      </c>
      <c r="F239" s="15">
        <v>97</v>
      </c>
      <c r="G239" s="15" t="s">
        <v>15</v>
      </c>
      <c r="H239" s="15" t="s">
        <v>72</v>
      </c>
      <c r="I239" s="15" t="s">
        <v>74</v>
      </c>
      <c r="J239" s="16">
        <v>45772</v>
      </c>
    </row>
    <row r="240" spans="1:10" x14ac:dyDescent="0.3">
      <c r="A240" s="16">
        <v>45770</v>
      </c>
      <c r="B240" s="15" t="s">
        <v>86</v>
      </c>
      <c r="C240" s="14" t="s">
        <v>16</v>
      </c>
      <c r="D240" s="15" t="s">
        <v>390</v>
      </c>
      <c r="E240" s="15">
        <v>10</v>
      </c>
      <c r="F240" s="15">
        <v>69</v>
      </c>
      <c r="G240" s="15" t="s">
        <v>15</v>
      </c>
      <c r="H240" s="15" t="s">
        <v>72</v>
      </c>
      <c r="I240" s="15" t="s">
        <v>74</v>
      </c>
      <c r="J240" s="16">
        <v>45772</v>
      </c>
    </row>
    <row r="241" spans="1:10" x14ac:dyDescent="0.3">
      <c r="A241" s="16">
        <v>45775</v>
      </c>
      <c r="B241" s="15" t="s">
        <v>86</v>
      </c>
      <c r="C241" s="14" t="s">
        <v>16</v>
      </c>
      <c r="D241" s="15" t="s">
        <v>391</v>
      </c>
      <c r="E241" s="15">
        <v>0</v>
      </c>
      <c r="F241" s="15" t="s">
        <v>86</v>
      </c>
      <c r="G241" s="15" t="s">
        <v>380</v>
      </c>
      <c r="H241" s="15" t="s">
        <v>72</v>
      </c>
      <c r="I241" s="15" t="s">
        <v>18</v>
      </c>
      <c r="J241" s="16" t="s">
        <v>86</v>
      </c>
    </row>
    <row r="242" spans="1:10" x14ac:dyDescent="0.3">
      <c r="A242" s="16">
        <v>45776</v>
      </c>
      <c r="B242" s="15" t="s">
        <v>86</v>
      </c>
      <c r="C242" s="14" t="s">
        <v>82</v>
      </c>
      <c r="D242" s="15" t="s">
        <v>392</v>
      </c>
      <c r="E242" s="15">
        <v>0</v>
      </c>
      <c r="F242" s="15" t="s">
        <v>86</v>
      </c>
      <c r="G242" s="15" t="s">
        <v>380</v>
      </c>
      <c r="H242" s="15" t="s">
        <v>72</v>
      </c>
      <c r="I242" s="15" t="s">
        <v>18</v>
      </c>
      <c r="J242" s="16" t="s">
        <v>86</v>
      </c>
    </row>
    <row r="243" spans="1:10" x14ac:dyDescent="0.3">
      <c r="A243" s="16">
        <v>45777</v>
      </c>
      <c r="B243" s="15" t="s">
        <v>86</v>
      </c>
      <c r="C243" s="14" t="s">
        <v>82</v>
      </c>
      <c r="D243" s="15" t="s">
        <v>393</v>
      </c>
      <c r="E243" s="15">
        <v>0</v>
      </c>
      <c r="F243" s="15" t="s">
        <v>86</v>
      </c>
      <c r="G243" s="15" t="s">
        <v>380</v>
      </c>
      <c r="H243" s="15" t="s">
        <v>72</v>
      </c>
      <c r="I243" s="15" t="s">
        <v>18</v>
      </c>
      <c r="J243" s="16" t="s">
        <v>86</v>
      </c>
    </row>
    <row r="244" spans="1:10" x14ac:dyDescent="0.3">
      <c r="A244" s="16">
        <v>45779</v>
      </c>
      <c r="B244" s="15" t="s">
        <v>86</v>
      </c>
      <c r="C244" s="14" t="s">
        <v>82</v>
      </c>
      <c r="D244" s="15" t="s">
        <v>378</v>
      </c>
      <c r="E244" s="15">
        <v>0</v>
      </c>
      <c r="F244" s="15" t="s">
        <v>86</v>
      </c>
      <c r="G244" s="15" t="s">
        <v>380</v>
      </c>
      <c r="H244" s="15" t="s">
        <v>72</v>
      </c>
      <c r="I244" s="15" t="s">
        <v>18</v>
      </c>
      <c r="J244" s="16" t="s">
        <v>86</v>
      </c>
    </row>
    <row r="245" spans="1:10" x14ac:dyDescent="0.3">
      <c r="A245" s="16">
        <v>45782</v>
      </c>
      <c r="B245" s="15" t="s">
        <v>86</v>
      </c>
      <c r="C245" s="14" t="s">
        <v>82</v>
      </c>
      <c r="D245" s="15" t="s">
        <v>379</v>
      </c>
      <c r="E245" s="15">
        <v>0</v>
      </c>
      <c r="F245" s="15" t="s">
        <v>86</v>
      </c>
      <c r="G245" s="15" t="s">
        <v>380</v>
      </c>
      <c r="H245" s="15" t="s">
        <v>72</v>
      </c>
      <c r="I245" s="15" t="s">
        <v>18</v>
      </c>
      <c r="J245" s="16" t="s">
        <v>86</v>
      </c>
    </row>
    <row r="246" spans="1:10" x14ac:dyDescent="0.3">
      <c r="A246" s="16">
        <v>45783</v>
      </c>
      <c r="B246" s="15" t="s">
        <v>86</v>
      </c>
      <c r="C246" s="14" t="s">
        <v>82</v>
      </c>
      <c r="D246" s="15" t="s">
        <v>394</v>
      </c>
      <c r="E246" s="15">
        <v>0</v>
      </c>
      <c r="F246" s="15" t="s">
        <v>86</v>
      </c>
      <c r="G246" s="15" t="s">
        <v>380</v>
      </c>
      <c r="H246" s="15" t="s">
        <v>72</v>
      </c>
      <c r="I246" s="15" t="s">
        <v>18</v>
      </c>
      <c r="J246" s="16" t="s">
        <v>86</v>
      </c>
    </row>
    <row r="247" spans="1:10" x14ac:dyDescent="0.3">
      <c r="A247" s="16">
        <v>45784</v>
      </c>
      <c r="B247" s="15" t="s">
        <v>86</v>
      </c>
      <c r="C247" s="14" t="s">
        <v>82</v>
      </c>
      <c r="D247" s="15" t="s">
        <v>395</v>
      </c>
      <c r="E247" s="15">
        <v>0</v>
      </c>
      <c r="F247" s="15" t="s">
        <v>86</v>
      </c>
      <c r="G247" s="15" t="s">
        <v>380</v>
      </c>
      <c r="H247" s="15" t="s">
        <v>72</v>
      </c>
      <c r="I247" s="15" t="s">
        <v>18</v>
      </c>
      <c r="J247" s="16" t="s">
        <v>86</v>
      </c>
    </row>
    <row r="248" spans="1:10" x14ac:dyDescent="0.3">
      <c r="A248" s="16">
        <v>45786</v>
      </c>
      <c r="B248" s="15" t="s">
        <v>86</v>
      </c>
      <c r="C248" s="14" t="s">
        <v>82</v>
      </c>
      <c r="D248" s="15" t="s">
        <v>396</v>
      </c>
      <c r="E248" s="15">
        <v>0</v>
      </c>
      <c r="F248" s="15" t="s">
        <v>86</v>
      </c>
      <c r="G248" s="15" t="s">
        <v>380</v>
      </c>
      <c r="H248" s="15" t="s">
        <v>72</v>
      </c>
      <c r="I248" s="15" t="s">
        <v>18</v>
      </c>
      <c r="J248" s="16" t="s">
        <v>86</v>
      </c>
    </row>
    <row r="249" spans="1:10" x14ac:dyDescent="0.3">
      <c r="A249" s="16">
        <v>45789</v>
      </c>
      <c r="B249" s="15" t="s">
        <v>86</v>
      </c>
      <c r="C249" s="14" t="s">
        <v>82</v>
      </c>
      <c r="D249" s="15" t="s">
        <v>397</v>
      </c>
      <c r="E249" s="15">
        <v>0</v>
      </c>
      <c r="F249" s="15" t="s">
        <v>86</v>
      </c>
      <c r="G249" s="15" t="s">
        <v>380</v>
      </c>
      <c r="H249" s="15" t="s">
        <v>72</v>
      </c>
      <c r="I249" s="15" t="s">
        <v>18</v>
      </c>
      <c r="J249" s="16" t="s">
        <v>86</v>
      </c>
    </row>
    <row r="250" spans="1:10" x14ac:dyDescent="0.3">
      <c r="A250" s="16">
        <v>45790</v>
      </c>
      <c r="B250" s="15" t="s">
        <v>86</v>
      </c>
      <c r="C250" s="14" t="s">
        <v>82</v>
      </c>
      <c r="D250" s="15" t="s">
        <v>400</v>
      </c>
      <c r="E250" s="15">
        <v>0</v>
      </c>
      <c r="F250" s="15" t="s">
        <v>86</v>
      </c>
      <c r="G250" s="15" t="s">
        <v>380</v>
      </c>
      <c r="H250" s="15" t="s">
        <v>72</v>
      </c>
      <c r="I250" s="15" t="s">
        <v>18</v>
      </c>
      <c r="J250" s="16" t="s">
        <v>86</v>
      </c>
    </row>
    <row r="251" spans="1:10" x14ac:dyDescent="0.3">
      <c r="A251" s="16">
        <v>45791</v>
      </c>
      <c r="B251" s="15" t="s">
        <v>86</v>
      </c>
      <c r="C251" s="14" t="s">
        <v>82</v>
      </c>
      <c r="D251" s="15" t="s">
        <v>399</v>
      </c>
      <c r="E251" s="15">
        <v>0</v>
      </c>
      <c r="F251" s="15" t="s">
        <v>86</v>
      </c>
      <c r="G251" s="15" t="s">
        <v>380</v>
      </c>
      <c r="H251" s="15" t="s">
        <v>72</v>
      </c>
      <c r="I251" s="15" t="s">
        <v>18</v>
      </c>
      <c r="J251" s="16" t="s">
        <v>86</v>
      </c>
    </row>
    <row r="252" spans="1:10" x14ac:dyDescent="0.3">
      <c r="A252" s="16">
        <v>45792</v>
      </c>
      <c r="B252" s="15" t="s">
        <v>86</v>
      </c>
      <c r="C252" s="14" t="s">
        <v>73</v>
      </c>
      <c r="D252" s="15" t="s">
        <v>419</v>
      </c>
      <c r="E252" s="15">
        <v>0</v>
      </c>
      <c r="F252" s="15" t="s">
        <v>86</v>
      </c>
      <c r="G252" s="15" t="s">
        <v>380</v>
      </c>
      <c r="H252" s="15" t="s">
        <v>72</v>
      </c>
      <c r="I252" s="15" t="s">
        <v>18</v>
      </c>
      <c r="J252" s="16" t="s">
        <v>86</v>
      </c>
    </row>
    <row r="253" spans="1:10" x14ac:dyDescent="0.3">
      <c r="A253" s="34">
        <v>45937</v>
      </c>
      <c r="B253" s="33" t="s">
        <v>86</v>
      </c>
      <c r="C253" s="12" t="s">
        <v>16</v>
      </c>
      <c r="D253" s="33" t="s">
        <v>384</v>
      </c>
      <c r="E253" s="33">
        <v>3</v>
      </c>
      <c r="F253" s="33">
        <v>2</v>
      </c>
      <c r="G253" s="33" t="s">
        <v>15</v>
      </c>
      <c r="H253" s="33" t="s">
        <v>85</v>
      </c>
      <c r="I253" s="33" t="s">
        <v>74</v>
      </c>
      <c r="J253" s="34">
        <v>45955</v>
      </c>
    </row>
    <row r="254" spans="1:10" x14ac:dyDescent="0.3">
      <c r="A254" s="34">
        <v>45937</v>
      </c>
      <c r="B254" s="33" t="s">
        <v>86</v>
      </c>
      <c r="C254" s="12" t="s">
        <v>16</v>
      </c>
      <c r="D254" s="33" t="s">
        <v>384</v>
      </c>
      <c r="E254" s="33">
        <v>3</v>
      </c>
      <c r="F254" s="33">
        <v>55</v>
      </c>
      <c r="G254" s="33" t="s">
        <v>15</v>
      </c>
      <c r="H254" s="33" t="s">
        <v>85</v>
      </c>
      <c r="I254" s="33" t="s">
        <v>74</v>
      </c>
      <c r="J254" s="34">
        <v>45955</v>
      </c>
    </row>
    <row r="255" spans="1:10" x14ac:dyDescent="0.3">
      <c r="A255" s="34">
        <v>45937</v>
      </c>
      <c r="B255" s="33" t="s">
        <v>86</v>
      </c>
      <c r="C255" s="12" t="s">
        <v>16</v>
      </c>
      <c r="D255" s="33" t="s">
        <v>384</v>
      </c>
      <c r="E255" s="33">
        <v>3</v>
      </c>
      <c r="F255" s="33">
        <v>111</v>
      </c>
      <c r="G255" s="33" t="s">
        <v>15</v>
      </c>
      <c r="H255" s="33" t="s">
        <v>85</v>
      </c>
      <c r="I255" s="33" t="s">
        <v>74</v>
      </c>
      <c r="J255" s="34">
        <v>45955</v>
      </c>
    </row>
  </sheetData>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9BEC8-79F7-41FB-8B15-F3E1F45459E2}">
  <dimension ref="B1:M52"/>
  <sheetViews>
    <sheetView zoomScale="70" zoomScaleNormal="70" workbookViewId="0">
      <pane ySplit="1" topLeftCell="A2" activePane="bottomLeft" state="frozen"/>
      <selection pane="bottomLeft" activeCell="R11" sqref="R11"/>
    </sheetView>
  </sheetViews>
  <sheetFormatPr defaultColWidth="17.44140625" defaultRowHeight="14.4" x14ac:dyDescent="0.3"/>
  <cols>
    <col min="1" max="1" width="1" customWidth="1"/>
    <col min="3" max="4" width="17.44140625" style="1"/>
    <col min="5" max="6" width="14.44140625" style="1" customWidth="1"/>
    <col min="7" max="7" width="21.109375" style="1" bestFit="1" customWidth="1"/>
    <col min="8" max="8" width="17.44140625" style="1"/>
    <col min="9" max="9" width="19.88671875" style="1" customWidth="1"/>
    <col min="10" max="10" width="24.33203125" style="1" bestFit="1" customWidth="1"/>
    <col min="11" max="12" width="0" hidden="1" customWidth="1"/>
    <col min="13" max="13" width="3.77734375" hidden="1" customWidth="1"/>
  </cols>
  <sheetData>
    <row r="1" spans="2:13" ht="36" customHeight="1" x14ac:dyDescent="0.3">
      <c r="B1" s="23" t="s">
        <v>3</v>
      </c>
      <c r="C1" s="53" t="s">
        <v>354</v>
      </c>
      <c r="D1" s="53" t="s">
        <v>355</v>
      </c>
      <c r="E1" s="83" t="s">
        <v>356</v>
      </c>
      <c r="F1" s="83" t="s">
        <v>357</v>
      </c>
      <c r="G1" s="61" t="s">
        <v>358</v>
      </c>
      <c r="H1" s="29" t="s">
        <v>179</v>
      </c>
      <c r="I1" s="29" t="s">
        <v>359</v>
      </c>
      <c r="J1" s="29" t="s">
        <v>360</v>
      </c>
      <c r="K1" s="3" t="s">
        <v>228</v>
      </c>
      <c r="L1" s="3" t="s">
        <v>229</v>
      </c>
      <c r="M1" s="3" t="s">
        <v>230</v>
      </c>
    </row>
    <row r="2" spans="2:13" x14ac:dyDescent="0.3">
      <c r="B2" s="14" t="s">
        <v>180</v>
      </c>
      <c r="C2" s="54">
        <f>SUMIF(Dados_Brutos!D:D, B2, Dados_Brutos!E:E)</f>
        <v>0</v>
      </c>
      <c r="D2" s="55">
        <f t="shared" ref="D2:D48" si="0">(C2/1200)</f>
        <v>0</v>
      </c>
      <c r="E2" s="55">
        <f>IF(COUNTIFS(Dados_Brutos!D:D,Tabela11[[#This Row],[TURBINA]],Dados_Brutos!K:K, "Alto")&gt;0,0.8,IF(COUNTIFS(Dados_Brutos!D:D,Tabela11[[#This Row],[TURBINA]],Dados_Brutos!K:K, "Médio"),0.8,1))*Tabela11[[#This Row],[% IMAS TROCADOS]]</f>
        <v>0</v>
      </c>
      <c r="F2" s="55">
        <f>IF(COUNTIFS(Dados_Brutos!D:D,Tabela11[[#This Row],[TURBINA]],Dados_Brutos!L:L,"Alto")&gt;0, 0.8, IF(COUNTIFS(Dados_Brutos!D:D,Tabela11[[#This Row],[TURBINA]],Dados_Brutos!L:L,"Médio")&gt;0, 0.9, 1))*Tabela11[[#This Row],[% IMAS TROCADOS]]</f>
        <v>0</v>
      </c>
      <c r="G2" s="15" t="str">
        <f>COUNTIF(Tabela16[[#This Row],[C-01]:[C-120]],"X") &amp; "/120"</f>
        <v>0/120</v>
      </c>
      <c r="H2" s="15" t="str">
        <f t="shared" ref="H2:H48" si="1">IF(OR(C2&gt;150, F2&gt;0.85), "🔴", IF(OR(C2&gt;100, F2&gt;0.9), "🟡", "🟢"))</f>
        <v>🟢</v>
      </c>
      <c r="I2" s="16" cm="1">
        <f t="array" ref="I2">MAX(IF(Dados_Brutos!D:D=Tabela11[[#This Row],[TURBINA]],Dados_Brutos!A:A))</f>
        <v>45775</v>
      </c>
      <c r="J2" s="16">
        <f t="shared" ref="J2:J48" si="2">IFERROR(DATE(YEAR(I2),MONTH(I2)+7,DAY(I2)),"")</f>
        <v>45989</v>
      </c>
    </row>
    <row r="3" spans="2:13" x14ac:dyDescent="0.3">
      <c r="B3" s="14" t="s">
        <v>205</v>
      </c>
      <c r="C3" s="54">
        <f>SUMIF(Dados_Brutos!D:D, B3, Dados_Brutos!E:E)</f>
        <v>0</v>
      </c>
      <c r="D3" s="55">
        <f t="shared" si="0"/>
        <v>0</v>
      </c>
      <c r="E3" s="55">
        <f>IF(COUNTIFS(Dados_Brutos!D:D,Tabela11[[#This Row],[TURBINA]],Dados_Brutos!K:K, "Alto")&gt;0,0.8,IF(COUNTIFS(Dados_Brutos!D:D,Tabela11[[#This Row],[TURBINA]],Dados_Brutos!K:K, "Médio"),0.8,1))*Tabela11[[#This Row],[% IMAS TROCADOS]]</f>
        <v>0</v>
      </c>
      <c r="F3" s="55">
        <f>IF(COUNTIFS(Dados_Brutos!D:D,Tabela11[[#This Row],[TURBINA]],Dados_Brutos!L:L,"Alto")&gt;0, 0.8, IF(COUNTIFS(Dados_Brutos!D:D,Tabela11[[#This Row],[TURBINA]],Dados_Brutos!L:L,"Médio")&gt;0, 0.9, 1))*Tabela11[[#This Row],[% IMAS TROCADOS]]</f>
        <v>0</v>
      </c>
      <c r="G3" s="15" t="str">
        <f>COUNTIF(Tabela16[[#This Row],[C-01]:[C-120]],"X") &amp; "/120"</f>
        <v>0/120</v>
      </c>
      <c r="H3" s="15" t="str">
        <f t="shared" si="1"/>
        <v>🟢</v>
      </c>
      <c r="I3" s="16" cm="1">
        <f t="array" ref="I3">MAX(IF(Dados_Brutos!D:D=Tabela11[[#This Row],[TURBINA]],Dados_Brutos!A:A))</f>
        <v>45639</v>
      </c>
      <c r="J3" s="16">
        <f t="shared" si="2"/>
        <v>45851</v>
      </c>
    </row>
    <row r="4" spans="2:13" x14ac:dyDescent="0.3">
      <c r="B4" s="14" t="s">
        <v>206</v>
      </c>
      <c r="C4" s="54">
        <f>SUMIF(Dados_Brutos!D:D, B4, Dados_Brutos!E:E)</f>
        <v>0</v>
      </c>
      <c r="D4" s="55">
        <f t="shared" si="0"/>
        <v>0</v>
      </c>
      <c r="E4" s="55">
        <f>IF(COUNTIFS(Dados_Brutos!D:D,Tabela11[[#This Row],[TURBINA]],Dados_Brutos!K:K, "Alto")&gt;0,0.8,IF(COUNTIFS(Dados_Brutos!D:D,Tabela11[[#This Row],[TURBINA]],Dados_Brutos!K:K, "Médio"),0.8,1))*Tabela11[[#This Row],[% IMAS TROCADOS]]</f>
        <v>0</v>
      </c>
      <c r="F4" s="55">
        <f>IF(COUNTIFS(Dados_Brutos!D:D,Tabela11[[#This Row],[TURBINA]],Dados_Brutos!L:L,"Alto")&gt;0, 0.8, IF(COUNTIFS(Dados_Brutos!D:D,Tabela11[[#This Row],[TURBINA]],Dados_Brutos!L:L,"Médio")&gt;0, 0.9, 1))*Tabela11[[#This Row],[% IMAS TROCADOS]]</f>
        <v>0</v>
      </c>
      <c r="G4" s="15" t="str">
        <f>COUNTIF(Tabela16[[#This Row],[C-01]:[C-120]],"X") &amp; "/120"</f>
        <v>0/120</v>
      </c>
      <c r="H4" s="15" t="str">
        <f t="shared" si="1"/>
        <v>🟢</v>
      </c>
      <c r="I4" s="16" cm="1">
        <f t="array" ref="I4">MAX(IF(Dados_Brutos!D:D=Tabela11[[#This Row],[TURBINA]],Dados_Brutos!A:A))</f>
        <v>45644</v>
      </c>
      <c r="J4" s="16">
        <f t="shared" si="2"/>
        <v>45856</v>
      </c>
      <c r="K4" t="s">
        <v>227</v>
      </c>
    </row>
    <row r="5" spans="2:13" x14ac:dyDescent="0.3">
      <c r="B5" s="14" t="s">
        <v>181</v>
      </c>
      <c r="C5" s="54">
        <f>SUMIF(Dados_Brutos!D:D, B5, Dados_Brutos!E:E)</f>
        <v>0</v>
      </c>
      <c r="D5" s="55">
        <f t="shared" si="0"/>
        <v>0</v>
      </c>
      <c r="E5" s="55">
        <f>IF(COUNTIFS(Dados_Brutos!D:D,Tabela11[[#This Row],[TURBINA]],Dados_Brutos!K:K, "Alto")&gt;0,0.8,IF(COUNTIFS(Dados_Brutos!D:D,Tabela11[[#This Row],[TURBINA]],Dados_Brutos!K:K, "Médio"),0.8,1))*Tabela11[[#This Row],[% IMAS TROCADOS]]</f>
        <v>0</v>
      </c>
      <c r="F5" s="55">
        <f>IF(COUNTIFS(Dados_Brutos!D:D,Tabela11[[#This Row],[TURBINA]],Dados_Brutos!L:L,"Alto")&gt;0, 0.8, IF(COUNTIFS(Dados_Brutos!D:D,Tabela11[[#This Row],[TURBINA]],Dados_Brutos!L:L,"Médio")&gt;0, 0.9, 1))*Tabela11[[#This Row],[% IMAS TROCADOS]]</f>
        <v>0</v>
      </c>
      <c r="G5" s="15" t="str">
        <f>COUNTIF(Tabela16[[#This Row],[C-01]:[C-120]],"X") &amp; "/120"</f>
        <v>0/120</v>
      </c>
      <c r="H5" s="15" t="str">
        <f t="shared" si="1"/>
        <v>🟢</v>
      </c>
      <c r="I5" s="16" cm="1">
        <f t="array" ref="I5">MAX(IF(Dados_Brutos!D:D=Tabela11[[#This Row],[TURBINA]],Dados_Brutos!A:A))</f>
        <v>45734</v>
      </c>
      <c r="J5" s="16">
        <f t="shared" si="2"/>
        <v>45948</v>
      </c>
    </row>
    <row r="6" spans="2:13" x14ac:dyDescent="0.3">
      <c r="B6" s="14" t="s">
        <v>191</v>
      </c>
      <c r="C6" s="54">
        <f>SUMIF(Dados_Brutos!D:D, B6, Dados_Brutos!E:E)</f>
        <v>80</v>
      </c>
      <c r="D6" s="55">
        <f t="shared" si="0"/>
        <v>6.6666666666666666E-2</v>
      </c>
      <c r="E6" s="55">
        <f>IF(COUNTIFS(Dados_Brutos!D:D,Tabela11[[#This Row],[TURBINA]],Dados_Brutos!K:K, "Alto")&gt;0,0.8,IF(COUNTIFS(Dados_Brutos!D:D,Tabela11[[#This Row],[TURBINA]],Dados_Brutos!K:K, "Médio"),0.8,1))*Tabela11[[#This Row],[% IMAS TROCADOS]]</f>
        <v>5.3333333333333337E-2</v>
      </c>
      <c r="F6" s="55">
        <f>IF(COUNTIFS(Dados_Brutos!D:D,Tabela11[[#This Row],[TURBINA]],Dados_Brutos!L:L,"Alto")&gt;0, 0.8, IF(COUNTIFS(Dados_Brutos!D:D,Tabela11[[#This Row],[TURBINA]],Dados_Brutos!L:L,"Médio")&gt;0, 0.9, 1))*Tabela11[[#This Row],[% IMAS TROCADOS]]</f>
        <v>5.3333333333333337E-2</v>
      </c>
      <c r="G6" s="15" t="str">
        <f>COUNTIF(Tabela16[[#This Row],[C-01]:[C-120]],"X") &amp; "/120"</f>
        <v>0/120</v>
      </c>
      <c r="H6" s="15" t="str">
        <f t="shared" si="1"/>
        <v>🟢</v>
      </c>
      <c r="I6" s="16" cm="1">
        <f t="array" ref="I6">MAX(IF(Dados_Brutos!D:D=Tabela11[[#This Row],[TURBINA]],Dados_Brutos!A:A))</f>
        <v>45749</v>
      </c>
      <c r="J6" s="16">
        <f t="shared" si="2"/>
        <v>45963</v>
      </c>
    </row>
    <row r="7" spans="2:13" x14ac:dyDescent="0.3">
      <c r="B7" s="14" t="s">
        <v>192</v>
      </c>
      <c r="C7" s="54">
        <f>SUMIF(Dados_Brutos!D:D, B7, Dados_Brutos!E:E)</f>
        <v>20</v>
      </c>
      <c r="D7" s="55">
        <f t="shared" si="0"/>
        <v>1.6666666666666666E-2</v>
      </c>
      <c r="E7" s="55">
        <f>IF(COUNTIFS(Dados_Brutos!D:D,Tabela11[[#This Row],[TURBINA]],Dados_Brutos!K:K, "Alto")&gt;0,0.8,IF(COUNTIFS(Dados_Brutos!D:D,Tabela11[[#This Row],[TURBINA]],Dados_Brutos!K:K, "Médio"),0.8,1))*Tabela11[[#This Row],[% IMAS TROCADOS]]</f>
        <v>1.3333333333333334E-2</v>
      </c>
      <c r="F7" s="55">
        <f>IF(COUNTIFS(Dados_Brutos!D:D,Tabela11[[#This Row],[TURBINA]],Dados_Brutos!L:L,"Alto")&gt;0, 0.8, IF(COUNTIFS(Dados_Brutos!D:D,Tabela11[[#This Row],[TURBINA]],Dados_Brutos!L:L,"Médio")&gt;0, 0.9, 1))*Tabela11[[#This Row],[% IMAS TROCADOS]]</f>
        <v>1.6666666666666666E-2</v>
      </c>
      <c r="G7" s="15" t="str">
        <f>COUNTIF(Tabela16[[#This Row],[C-01]:[C-120]],"X") &amp; "/120"</f>
        <v>0/120</v>
      </c>
      <c r="H7" s="15" t="str">
        <f t="shared" si="1"/>
        <v>🟢</v>
      </c>
      <c r="I7" s="16" cm="1">
        <f t="array" ref="I7">MAX(IF(Dados_Brutos!D:D=Tabela11[[#This Row],[TURBINA]],Dados_Brutos!A:A))</f>
        <v>45624</v>
      </c>
      <c r="J7" s="16">
        <f t="shared" si="2"/>
        <v>45836</v>
      </c>
    </row>
    <row r="8" spans="2:13" x14ac:dyDescent="0.3">
      <c r="B8" s="14" t="s">
        <v>193</v>
      </c>
      <c r="C8" s="54">
        <f>SUMIF(Dados_Brutos!D:D, B8, Dados_Brutos!E:E)</f>
        <v>30</v>
      </c>
      <c r="D8" s="55">
        <f t="shared" si="0"/>
        <v>2.5000000000000001E-2</v>
      </c>
      <c r="E8" s="55">
        <f>IF(COUNTIFS(Dados_Brutos!D:D,Tabela11[[#This Row],[TURBINA]],Dados_Brutos!K:K, "Alto")&gt;0,0.8,IF(COUNTIFS(Dados_Brutos!D:D,Tabela11[[#This Row],[TURBINA]],Dados_Brutos!K:K, "Médio"),0.8,1))*Tabela11[[#This Row],[% IMAS TROCADOS]]</f>
        <v>2.5000000000000001E-2</v>
      </c>
      <c r="F8" s="55">
        <f>IF(COUNTIFS(Dados_Brutos!D:D,Tabela11[[#This Row],[TURBINA]],Dados_Brutos!L:L,"Alto")&gt;0, 0.8, IF(COUNTIFS(Dados_Brutos!D:D,Tabela11[[#This Row],[TURBINA]],Dados_Brutos!L:L,"Médio")&gt;0, 0.9, 1))*Tabela11[[#This Row],[% IMAS TROCADOS]]</f>
        <v>2.0000000000000004E-2</v>
      </c>
      <c r="G8" s="15" t="str">
        <f>COUNTIF(Tabela16[[#This Row],[C-01]:[C-120]],"X") &amp; "/120"</f>
        <v>0/120</v>
      </c>
      <c r="H8" s="15" t="str">
        <f t="shared" si="1"/>
        <v>🟢</v>
      </c>
      <c r="I8" s="16" cm="1">
        <f t="array" ref="I8">MAX(IF(Dados_Brutos!D:D=Tabela11[[#This Row],[TURBINA]],Dados_Brutos!A:A))</f>
        <v>45624</v>
      </c>
      <c r="J8" s="16">
        <f t="shared" si="2"/>
        <v>45836</v>
      </c>
    </row>
    <row r="9" spans="2:13" x14ac:dyDescent="0.3">
      <c r="B9" s="14" t="s">
        <v>216</v>
      </c>
      <c r="C9" s="54">
        <f>SUMIF(Dados_Brutos!D:D, B9, Dados_Brutos!E:E)</f>
        <v>3</v>
      </c>
      <c r="D9" s="55">
        <f t="shared" si="0"/>
        <v>2.5000000000000001E-3</v>
      </c>
      <c r="E9" s="55">
        <f>IF(COUNTIFS(Dados_Brutos!D:D,Tabela11[[#This Row],[TURBINA]],Dados_Brutos!K:K, "Alto")&gt;0,0.8,IF(COUNTIFS(Dados_Brutos!D:D,Tabela11[[#This Row],[TURBINA]],Dados_Brutos!K:K, "Médio"),0.8,1))*Tabela11[[#This Row],[% IMAS TROCADOS]]</f>
        <v>2E-3</v>
      </c>
      <c r="F9" s="55">
        <f>IF(COUNTIFS(Dados_Brutos!D:D,Tabela11[[#This Row],[TURBINA]],Dados_Brutos!L:L,"Alto")&gt;0, 0.8, IF(COUNTIFS(Dados_Brutos!D:D,Tabela11[[#This Row],[TURBINA]],Dados_Brutos!L:L,"Médio")&gt;0, 0.9, 1))*Tabela11[[#This Row],[% IMAS TROCADOS]]</f>
        <v>2E-3</v>
      </c>
      <c r="G9" s="15" t="str">
        <f>COUNTIF(Tabela16[[#This Row],[C-01]:[C-120]],"X") &amp; "/120"</f>
        <v>0/120</v>
      </c>
      <c r="H9" s="15" t="str">
        <f t="shared" si="1"/>
        <v>🟢</v>
      </c>
      <c r="I9" s="16" cm="1">
        <f t="array" ref="I9">MAX(IF(Dados_Brutos!D:D=Tabela11[[#This Row],[TURBINA]],Dados_Brutos!A:A))</f>
        <v>45784</v>
      </c>
      <c r="J9" s="16">
        <f t="shared" si="2"/>
        <v>45998</v>
      </c>
    </row>
    <row r="10" spans="2:13" x14ac:dyDescent="0.3">
      <c r="B10" s="14" t="s">
        <v>217</v>
      </c>
      <c r="C10" s="54">
        <f>SUMIF(Dados_Brutos!D:D, B10, Dados_Brutos!E:E)</f>
        <v>21</v>
      </c>
      <c r="D10" s="55">
        <f t="shared" si="0"/>
        <v>1.7500000000000002E-2</v>
      </c>
      <c r="E10" s="55">
        <f>IF(COUNTIFS(Dados_Brutos!D:D,Tabela11[[#This Row],[TURBINA]],Dados_Brutos!K:K, "Alto")&gt;0,0.8,IF(COUNTIFS(Dados_Brutos!D:D,Tabela11[[#This Row],[TURBINA]],Dados_Brutos!K:K, "Médio"),0.8,1))*Tabela11[[#This Row],[% IMAS TROCADOS]]</f>
        <v>1.4000000000000002E-2</v>
      </c>
      <c r="F10" s="55">
        <f>IF(COUNTIFS(Dados_Brutos!D:D,Tabela11[[#This Row],[TURBINA]],Dados_Brutos!L:L,"Alto")&gt;0, 0.8, IF(COUNTIFS(Dados_Brutos!D:D,Tabela11[[#This Row],[TURBINA]],Dados_Brutos!L:L,"Médio")&gt;0, 0.9, 1))*Tabela11[[#This Row],[% IMAS TROCADOS]]</f>
        <v>1.7500000000000002E-2</v>
      </c>
      <c r="G10" s="15" t="str">
        <f>COUNTIF(Tabela16[[#This Row],[C-01]:[C-120]],"X") &amp; "/120"</f>
        <v>0/120</v>
      </c>
      <c r="H10" s="15" t="str">
        <f t="shared" si="1"/>
        <v>🟢</v>
      </c>
      <c r="I10" s="16" cm="1">
        <f t="array" ref="I10">MAX(IF(Dados_Brutos!D:D=Tabela11[[#This Row],[TURBINA]],Dados_Brutos!A:A))</f>
        <v>45862</v>
      </c>
      <c r="J10" s="16">
        <f t="shared" si="2"/>
        <v>46077</v>
      </c>
    </row>
    <row r="11" spans="2:13" x14ac:dyDescent="0.3">
      <c r="B11" s="14" t="s">
        <v>218</v>
      </c>
      <c r="C11" s="54">
        <f>SUMIF(Dados_Brutos!D:D, B11, Dados_Brutos!E:E)</f>
        <v>0</v>
      </c>
      <c r="D11" s="55">
        <f t="shared" si="0"/>
        <v>0</v>
      </c>
      <c r="E11" s="55">
        <f>IF(COUNTIFS(Dados_Brutos!D:D,Tabela11[[#This Row],[TURBINA]],Dados_Brutos!K:K, "Alto")&gt;0,0.8,IF(COUNTIFS(Dados_Brutos!D:D,Tabela11[[#This Row],[TURBINA]],Dados_Brutos!K:K, "Médio"),0.8,1))*Tabela11[[#This Row],[% IMAS TROCADOS]]</f>
        <v>0</v>
      </c>
      <c r="F11" s="55">
        <f>IF(COUNTIFS(Dados_Brutos!D:D,Tabela11[[#This Row],[TURBINA]],Dados_Brutos!L:L,"Alto")&gt;0, 0.8, IF(COUNTIFS(Dados_Brutos!D:D,Tabela11[[#This Row],[TURBINA]],Dados_Brutos!L:L,"Médio")&gt;0, 0.9, 1))*Tabela11[[#This Row],[% IMAS TROCADOS]]</f>
        <v>0</v>
      </c>
      <c r="G11" s="15" t="str">
        <f>COUNTIF(Tabela16[[#This Row],[C-01]:[C-120]],"X") &amp; "/120"</f>
        <v>0/120</v>
      </c>
      <c r="H11" s="15" t="str">
        <f t="shared" si="1"/>
        <v>🟢</v>
      </c>
      <c r="I11" s="16" cm="1">
        <f t="array" ref="I11">MAX(IF(Dados_Brutos!D:D=Tabela11[[#This Row],[TURBINA]],Dados_Brutos!A:A))</f>
        <v>45624</v>
      </c>
      <c r="J11" s="16">
        <f t="shared" si="2"/>
        <v>45836</v>
      </c>
    </row>
    <row r="12" spans="2:13" x14ac:dyDescent="0.3">
      <c r="B12" s="14" t="s">
        <v>219</v>
      </c>
      <c r="C12" s="54">
        <f>SUMIF(Dados_Brutos!D:D, B12, Dados_Brutos!E:E)</f>
        <v>20</v>
      </c>
      <c r="D12" s="55">
        <f t="shared" si="0"/>
        <v>1.6666666666666666E-2</v>
      </c>
      <c r="E12" s="55">
        <f>IF(COUNTIFS(Dados_Brutos!D:D,Tabela11[[#This Row],[TURBINA]],Dados_Brutos!K:K, "Alto")&gt;0,0.8,IF(COUNTIFS(Dados_Brutos!D:D,Tabela11[[#This Row],[TURBINA]],Dados_Brutos!K:K, "Médio"),0.8,1))*Tabela11[[#This Row],[% IMAS TROCADOS]]</f>
        <v>1.6666666666666666E-2</v>
      </c>
      <c r="F12" s="55">
        <f>IF(COUNTIFS(Dados_Brutos!D:D,Tabela11[[#This Row],[TURBINA]],Dados_Brutos!L:L,"Alto")&gt;0, 0.8, IF(COUNTIFS(Dados_Brutos!D:D,Tabela11[[#This Row],[TURBINA]],Dados_Brutos!L:L,"Médio")&gt;0, 0.9, 1))*Tabela11[[#This Row],[% IMAS TROCADOS]]</f>
        <v>1.3333333333333334E-2</v>
      </c>
      <c r="G12" s="15" t="str">
        <f>COUNTIF(Tabela16[[#This Row],[C-01]:[C-120]],"X") &amp; "/120"</f>
        <v>6/120</v>
      </c>
      <c r="H12" s="15" t="str">
        <f t="shared" si="1"/>
        <v>🟢</v>
      </c>
      <c r="I12" s="16" cm="1">
        <f t="array" ref="I12">MAX(IF(Dados_Brutos!D:D=Tabela11[[#This Row],[TURBINA]],Dados_Brutos!A:A))</f>
        <v>45789</v>
      </c>
      <c r="J12" s="16">
        <f t="shared" si="2"/>
        <v>46003</v>
      </c>
    </row>
    <row r="13" spans="2:13" x14ac:dyDescent="0.3">
      <c r="B13" s="14" t="s">
        <v>220</v>
      </c>
      <c r="C13" s="54">
        <f>SUMIF(Dados_Brutos!D:D, B13, Dados_Brutos!E:E)</f>
        <v>0</v>
      </c>
      <c r="D13" s="55">
        <f t="shared" si="0"/>
        <v>0</v>
      </c>
      <c r="E13" s="55">
        <f>IF(COUNTIFS(Dados_Brutos!D:D,Tabela11[[#This Row],[TURBINA]],Dados_Brutos!K:K, "Alto")&gt;0,0.8,IF(COUNTIFS(Dados_Brutos!D:D,Tabela11[[#This Row],[TURBINA]],Dados_Brutos!K:K, "Médio"),0.8,1))*Tabela11[[#This Row],[% IMAS TROCADOS]]</f>
        <v>0</v>
      </c>
      <c r="F13" s="55">
        <f>IF(COUNTIFS(Dados_Brutos!D:D,Tabela11[[#This Row],[TURBINA]],Dados_Brutos!L:L,"Alto")&gt;0, 0.8, IF(COUNTIFS(Dados_Brutos!D:D,Tabela11[[#This Row],[TURBINA]],Dados_Brutos!L:L,"Médio")&gt;0, 0.9, 1))*Tabela11[[#This Row],[% IMAS TROCADOS]]</f>
        <v>0</v>
      </c>
      <c r="G13" s="15" t="str">
        <f>COUNTIF(Tabela16[[#This Row],[C-01]:[C-120]],"X") &amp; "/120"</f>
        <v>0/120</v>
      </c>
      <c r="H13" s="15" t="str">
        <f t="shared" si="1"/>
        <v>🟢</v>
      </c>
      <c r="I13" s="16" cm="1">
        <f t="array" ref="I13">MAX(IF(Dados_Brutos!D:D=Tabela11[[#This Row],[TURBINA]],Dados_Brutos!A:A))</f>
        <v>45790</v>
      </c>
      <c r="J13" s="16">
        <f t="shared" si="2"/>
        <v>46004</v>
      </c>
    </row>
    <row r="14" spans="2:13" x14ac:dyDescent="0.3">
      <c r="B14" s="14" t="s">
        <v>221</v>
      </c>
      <c r="C14" s="54">
        <f>SUMIF(Dados_Brutos!D:D, B14, Dados_Brutos!E:E)</f>
        <v>50</v>
      </c>
      <c r="D14" s="55">
        <f t="shared" si="0"/>
        <v>4.1666666666666664E-2</v>
      </c>
      <c r="E14" s="55">
        <f>IF(COUNTIFS(Dados_Brutos!D:D,Tabela11[[#This Row],[TURBINA]],Dados_Brutos!K:K, "Alto")&gt;0,0.8,IF(COUNTIFS(Dados_Brutos!D:D,Tabela11[[#This Row],[TURBINA]],Dados_Brutos!K:K, "Médio"),0.8,1))*Tabela11[[#This Row],[% IMAS TROCADOS]]</f>
        <v>4.1666666666666664E-2</v>
      </c>
      <c r="F14" s="55">
        <f>IF(COUNTIFS(Dados_Brutos!D:D,Tabela11[[#This Row],[TURBINA]],Dados_Brutos!L:L,"Alto")&gt;0, 0.8, IF(COUNTIFS(Dados_Brutos!D:D,Tabela11[[#This Row],[TURBINA]],Dados_Brutos!L:L,"Médio")&gt;0, 0.9, 1))*Tabela11[[#This Row],[% IMAS TROCADOS]]</f>
        <v>3.3333333333333333E-2</v>
      </c>
      <c r="G14" s="15" t="str">
        <f>COUNTIF(Tabela16[[#This Row],[C-01]:[C-120]],"X") &amp; "/120"</f>
        <v>2/120</v>
      </c>
      <c r="H14" s="15" t="str">
        <f t="shared" si="1"/>
        <v>🟢</v>
      </c>
      <c r="I14" s="16" cm="1">
        <f t="array" ref="I14">MAX(IF(Dados_Brutos!D:D=Tabela11[[#This Row],[TURBINA]],Dados_Brutos!A:A))</f>
        <v>45791</v>
      </c>
      <c r="J14" s="16">
        <f t="shared" si="2"/>
        <v>46005</v>
      </c>
    </row>
    <row r="15" spans="2:13" x14ac:dyDescent="0.3">
      <c r="B15" s="14" t="s">
        <v>182</v>
      </c>
      <c r="C15" s="54">
        <f>SUMIF(Dados_Brutos!D:D, B15, Dados_Brutos!E:E)</f>
        <v>0</v>
      </c>
      <c r="D15" s="55">
        <f t="shared" si="0"/>
        <v>0</v>
      </c>
      <c r="E15" s="55">
        <f>IF(COUNTIFS(Dados_Brutos!D:D,Tabela11[[#This Row],[TURBINA]],Dados_Brutos!K:K, "Alto")&gt;0,0.8,IF(COUNTIFS(Dados_Brutos!D:D,Tabela11[[#This Row],[TURBINA]],Dados_Brutos!K:K, "Médio"),0.8,1))*Tabela11[[#This Row],[% IMAS TROCADOS]]</f>
        <v>0</v>
      </c>
      <c r="F15" s="55">
        <f>IF(COUNTIFS(Dados_Brutos!D:D,Tabela11[[#This Row],[TURBINA]],Dados_Brutos!L:L,"Alto")&gt;0, 0.8, IF(COUNTIFS(Dados_Brutos!D:D,Tabela11[[#This Row],[TURBINA]],Dados_Brutos!L:L,"Médio")&gt;0, 0.9, 1))*Tabela11[[#This Row],[% IMAS TROCADOS]]</f>
        <v>0</v>
      </c>
      <c r="G15" s="15" t="str">
        <f>COUNTIF(Tabela16[[#This Row],[C-01]:[C-120]],"X") &amp; "/120"</f>
        <v>2/120</v>
      </c>
      <c r="H15" s="15" t="str">
        <f t="shared" si="1"/>
        <v>🟢</v>
      </c>
      <c r="I15" s="16" cm="1">
        <f t="array" ref="I15">MAX(IF(Dados_Brutos!D:D=Tabela11[[#This Row],[TURBINA]],Dados_Brutos!A:A))</f>
        <v>45757</v>
      </c>
      <c r="J15" s="16">
        <f t="shared" si="2"/>
        <v>45971</v>
      </c>
    </row>
    <row r="16" spans="2:13" x14ac:dyDescent="0.3">
      <c r="B16" s="14" t="s">
        <v>222</v>
      </c>
      <c r="C16" s="54">
        <f>SUMIF(Dados_Brutos!D:D, B16, Dados_Brutos!E:E)</f>
        <v>50</v>
      </c>
      <c r="D16" s="55">
        <f t="shared" si="0"/>
        <v>4.1666666666666664E-2</v>
      </c>
      <c r="E16" s="55">
        <f>IF(COUNTIFS(Dados_Brutos!D:D,Tabela11[[#This Row],[TURBINA]],Dados_Brutos!K:K, "Alto")&gt;0,0.8,IF(COUNTIFS(Dados_Brutos!D:D,Tabela11[[#This Row],[TURBINA]],Dados_Brutos!K:K, "Médio"),0.8,1))*Tabela11[[#This Row],[% IMAS TROCADOS]]</f>
        <v>4.1666666666666664E-2</v>
      </c>
      <c r="F16" s="55">
        <f>IF(COUNTIFS(Dados_Brutos!D:D,Tabela11[[#This Row],[TURBINA]],Dados_Brutos!L:L,"Alto")&gt;0, 0.8, IF(COUNTIFS(Dados_Brutos!D:D,Tabela11[[#This Row],[TURBINA]],Dados_Brutos!L:L,"Médio")&gt;0, 0.9, 1))*Tabela11[[#This Row],[% IMAS TROCADOS]]</f>
        <v>3.3333333333333333E-2</v>
      </c>
      <c r="G16" s="15" t="str">
        <f>COUNTIF(Tabela16[[#This Row],[C-01]:[C-120]],"X") &amp; "/120"</f>
        <v>0/120</v>
      </c>
      <c r="H16" s="15" t="str">
        <f t="shared" si="1"/>
        <v>🟢</v>
      </c>
      <c r="I16" s="16" cm="1">
        <f t="array" ref="I16">MAX(IF(Dados_Brutos!D:D=Tabela11[[#This Row],[TURBINA]],Dados_Brutos!A:A))</f>
        <v>45777</v>
      </c>
      <c r="J16" s="16">
        <f t="shared" si="2"/>
        <v>45991</v>
      </c>
    </row>
    <row r="17" spans="2:10" x14ac:dyDescent="0.3">
      <c r="B17" s="14" t="s">
        <v>223</v>
      </c>
      <c r="C17" s="54">
        <f>SUMIF(Dados_Brutos!D:D, B17, Dados_Brutos!E:E)</f>
        <v>50</v>
      </c>
      <c r="D17" s="55">
        <f t="shared" si="0"/>
        <v>4.1666666666666664E-2</v>
      </c>
      <c r="E17" s="55">
        <f>IF(COUNTIFS(Dados_Brutos!D:D,Tabela11[[#This Row],[TURBINA]],Dados_Brutos!K:K, "Alto")&gt;0,0.8,IF(COUNTIFS(Dados_Brutos!D:D,Tabela11[[#This Row],[TURBINA]],Dados_Brutos!K:K, "Médio"),0.8,1))*Tabela11[[#This Row],[% IMAS TROCADOS]]</f>
        <v>3.3333333333333333E-2</v>
      </c>
      <c r="F17" s="55">
        <f>IF(COUNTIFS(Dados_Brutos!D:D,Tabela11[[#This Row],[TURBINA]],Dados_Brutos!L:L,"Alto")&gt;0, 0.8, IF(COUNTIFS(Dados_Brutos!D:D,Tabela11[[#This Row],[TURBINA]],Dados_Brutos!L:L,"Médio")&gt;0, 0.9, 1))*Tabela11[[#This Row],[% IMAS TROCADOS]]</f>
        <v>4.1666666666666664E-2</v>
      </c>
      <c r="G17" s="15" t="str">
        <f>COUNTIF(Tabela16[[#This Row],[C-01]:[C-120]],"X") &amp; "/120"</f>
        <v>3/120</v>
      </c>
      <c r="H17" s="15" t="str">
        <f t="shared" si="1"/>
        <v>🟢</v>
      </c>
      <c r="I17" s="16" cm="1">
        <f t="array" ref="I17">MAX(IF(Dados_Brutos!D:D=Tabela11[[#This Row],[TURBINA]],Dados_Brutos!A:A))</f>
        <v>45779</v>
      </c>
      <c r="J17" s="16">
        <f t="shared" si="2"/>
        <v>45993</v>
      </c>
    </row>
    <row r="18" spans="2:10" x14ac:dyDescent="0.3">
      <c r="B18" s="14" t="s">
        <v>224</v>
      </c>
      <c r="C18" s="54">
        <f>SUMIF(Dados_Brutos!D:D, B18, Dados_Brutos!E:E)</f>
        <v>0</v>
      </c>
      <c r="D18" s="55">
        <f t="shared" si="0"/>
        <v>0</v>
      </c>
      <c r="E18" s="55">
        <f>IF(COUNTIFS(Dados_Brutos!D:D,Tabela11[[#This Row],[TURBINA]],Dados_Brutos!K:K, "Alto")&gt;0,0.8,IF(COUNTIFS(Dados_Brutos!D:D,Tabela11[[#This Row],[TURBINA]],Dados_Brutos!K:K, "Médio"),0.8,1))*Tabela11[[#This Row],[% IMAS TROCADOS]]</f>
        <v>0</v>
      </c>
      <c r="F18" s="55">
        <f>IF(COUNTIFS(Dados_Brutos!D:D,Tabela11[[#This Row],[TURBINA]],Dados_Brutos!L:L,"Alto")&gt;0, 0.8, IF(COUNTIFS(Dados_Brutos!D:D,Tabela11[[#This Row],[TURBINA]],Dados_Brutos!L:L,"Médio")&gt;0, 0.9, 1))*Tabela11[[#This Row],[% IMAS TROCADOS]]</f>
        <v>0</v>
      </c>
      <c r="G18" s="15" t="str">
        <f>COUNTIF(Tabela16[[#This Row],[C-01]:[C-120]],"X") &amp; "/120"</f>
        <v>0/120</v>
      </c>
      <c r="H18" s="15" t="str">
        <f t="shared" si="1"/>
        <v>🟢</v>
      </c>
      <c r="I18" s="16" cm="1">
        <f t="array" ref="I18">MAX(IF(Dados_Brutos!D:D=Tabela11[[#This Row],[TURBINA]],Dados_Brutos!A:A))</f>
        <v>45776</v>
      </c>
      <c r="J18" s="16">
        <f t="shared" si="2"/>
        <v>45990</v>
      </c>
    </row>
    <row r="19" spans="2:10" x14ac:dyDescent="0.3">
      <c r="B19" s="14" t="s">
        <v>225</v>
      </c>
      <c r="C19" s="54">
        <f>SUMIF(Dados_Brutos!D:D, B19, Dados_Brutos!E:E)</f>
        <v>0</v>
      </c>
      <c r="D19" s="55">
        <f t="shared" si="0"/>
        <v>0</v>
      </c>
      <c r="E19" s="55">
        <f>IF(COUNTIFS(Dados_Brutos!D:D,Tabela11[[#This Row],[TURBINA]],Dados_Brutos!K:K, "Alto")&gt;0,0.8,IF(COUNTIFS(Dados_Brutos!D:D,Tabela11[[#This Row],[TURBINA]],Dados_Brutos!K:K, "Médio"),0.8,1))*Tabela11[[#This Row],[% IMAS TROCADOS]]</f>
        <v>0</v>
      </c>
      <c r="F19" s="55">
        <f>IF(COUNTIFS(Dados_Brutos!D:D,Tabela11[[#This Row],[TURBINA]],Dados_Brutos!L:L,"Alto")&gt;0, 0.8, IF(COUNTIFS(Dados_Brutos!D:D,Tabela11[[#This Row],[TURBINA]],Dados_Brutos!L:L,"Médio")&gt;0, 0.9, 1))*Tabela11[[#This Row],[% IMAS TROCADOS]]</f>
        <v>0</v>
      </c>
      <c r="G19" s="15" t="str">
        <f>COUNTIF(Tabela16[[#This Row],[C-01]:[C-120]],"X") &amp; "/120"</f>
        <v>0/120</v>
      </c>
      <c r="H19" s="15" t="str">
        <f t="shared" si="1"/>
        <v>🟢</v>
      </c>
      <c r="I19" s="16" cm="1">
        <f t="array" ref="I19">MAX(IF(Dados_Brutos!D:D=Tabela11[[#This Row],[TURBINA]],Dados_Brutos!A:A))</f>
        <v>45782</v>
      </c>
      <c r="J19" s="16">
        <f t="shared" si="2"/>
        <v>45996</v>
      </c>
    </row>
    <row r="20" spans="2:10" x14ac:dyDescent="0.3">
      <c r="B20" s="14" t="s">
        <v>226</v>
      </c>
      <c r="C20" s="54">
        <f>SUMIF(Dados_Brutos!D:D, B20, Dados_Brutos!E:E)</f>
        <v>0</v>
      </c>
      <c r="D20" s="55">
        <f t="shared" si="0"/>
        <v>0</v>
      </c>
      <c r="E20" s="55">
        <f>IF(COUNTIFS(Dados_Brutos!D:D,Tabela11[[#This Row],[TURBINA]],Dados_Brutos!K:K, "Alto")&gt;0,0.8,IF(COUNTIFS(Dados_Brutos!D:D,Tabela11[[#This Row],[TURBINA]],Dados_Brutos!K:K, "Médio"),0.8,1))*Tabela11[[#This Row],[% IMAS TROCADOS]]</f>
        <v>0</v>
      </c>
      <c r="F20" s="55">
        <f>IF(COUNTIFS(Dados_Brutos!D:D,Tabela11[[#This Row],[TURBINA]],Dados_Brutos!L:L,"Alto")&gt;0, 0.8, IF(COUNTIFS(Dados_Brutos!D:D,Tabela11[[#This Row],[TURBINA]],Dados_Brutos!L:L,"Médio")&gt;0, 0.9, 1))*Tabela11[[#This Row],[% IMAS TROCADOS]]</f>
        <v>0</v>
      </c>
      <c r="G20" s="15" t="str">
        <f>COUNTIF(Tabela16[[#This Row],[C-01]:[C-120]],"X") &amp; "/120"</f>
        <v>0/120</v>
      </c>
      <c r="H20" s="15" t="str">
        <f t="shared" si="1"/>
        <v>🟢</v>
      </c>
      <c r="I20" s="16" cm="1">
        <f t="array" ref="I20">MAX(IF(Dados_Brutos!D:D=Tabela11[[#This Row],[TURBINA]],Dados_Brutos!A:A))</f>
        <v>45783</v>
      </c>
      <c r="J20" s="16">
        <f t="shared" si="2"/>
        <v>45997</v>
      </c>
    </row>
    <row r="21" spans="2:10" x14ac:dyDescent="0.3">
      <c r="B21" s="14" t="s">
        <v>194</v>
      </c>
      <c r="C21" s="54">
        <f>SUMIF(Dados_Brutos!D:D, B21, Dados_Brutos!E:E)</f>
        <v>0</v>
      </c>
      <c r="D21" s="55">
        <f t="shared" si="0"/>
        <v>0</v>
      </c>
      <c r="E21" s="55">
        <f>IF(COUNTIFS(Dados_Brutos!D:D,Tabela11[[#This Row],[TURBINA]],Dados_Brutos!K:K, "Alto")&gt;0,0.8,IF(COUNTIFS(Dados_Brutos!D:D,Tabela11[[#This Row],[TURBINA]],Dados_Brutos!K:K, "Médio"),0.8,1))*Tabela11[[#This Row],[% IMAS TROCADOS]]</f>
        <v>0</v>
      </c>
      <c r="F21" s="55">
        <f>IF(COUNTIFS(Dados_Brutos!D:D,Tabela11[[#This Row],[TURBINA]],Dados_Brutos!L:L,"Alto")&gt;0, 0.8, IF(COUNTIFS(Dados_Brutos!D:D,Tabela11[[#This Row],[TURBINA]],Dados_Brutos!L:L,"Médio")&gt;0, 0.9, 1))*Tabela11[[#This Row],[% IMAS TROCADOS]]</f>
        <v>0</v>
      </c>
      <c r="G21" s="15" t="str">
        <f>COUNTIF(Tabela16[[#This Row],[C-01]:[C-120]],"X") &amp; "/120"</f>
        <v>0/120</v>
      </c>
      <c r="H21" s="15" t="str">
        <f t="shared" si="1"/>
        <v>🟢</v>
      </c>
      <c r="I21" s="16" cm="1">
        <f t="array" ref="I21">MAX(IF(Dados_Brutos!D:D=Tabela11[[#This Row],[TURBINA]],Dados_Brutos!A:A))</f>
        <v>45741</v>
      </c>
      <c r="J21" s="16">
        <f t="shared" si="2"/>
        <v>45955</v>
      </c>
    </row>
    <row r="22" spans="2:10" x14ac:dyDescent="0.3">
      <c r="B22" s="14" t="s">
        <v>195</v>
      </c>
      <c r="C22" s="54">
        <f>SUMIF(Dados_Brutos!D:D, B22, Dados_Brutos!E:E)</f>
        <v>0</v>
      </c>
      <c r="D22" s="55">
        <f t="shared" si="0"/>
        <v>0</v>
      </c>
      <c r="E22" s="55">
        <f>IF(COUNTIFS(Dados_Brutos!D:D,Tabela11[[#This Row],[TURBINA]],Dados_Brutos!K:K, "Alto")&gt;0,0.8,IF(COUNTIFS(Dados_Brutos!D:D,Tabela11[[#This Row],[TURBINA]],Dados_Brutos!K:K, "Médio"),0.8,1))*Tabela11[[#This Row],[% IMAS TROCADOS]]</f>
        <v>0</v>
      </c>
      <c r="F22" s="55">
        <f>IF(COUNTIFS(Dados_Brutos!D:D,Tabela11[[#This Row],[TURBINA]],Dados_Brutos!L:L,"Alto")&gt;0, 0.8, IF(COUNTIFS(Dados_Brutos!D:D,Tabela11[[#This Row],[TURBINA]],Dados_Brutos!L:L,"Médio")&gt;0, 0.9, 1))*Tabela11[[#This Row],[% IMAS TROCADOS]]</f>
        <v>0</v>
      </c>
      <c r="G22" s="15" t="str">
        <f>COUNTIF(Tabela16[[#This Row],[C-01]:[C-120]],"X") &amp; "/120"</f>
        <v>0/120</v>
      </c>
      <c r="H22" s="15" t="str">
        <f t="shared" si="1"/>
        <v>🟢</v>
      </c>
      <c r="I22" s="16" cm="1">
        <f t="array" ref="I22">MAX(IF(Dados_Brutos!D:D=Tabela11[[#This Row],[TURBINA]],Dados_Brutos!A:A))</f>
        <v>45610</v>
      </c>
      <c r="J22" s="16">
        <f t="shared" si="2"/>
        <v>45822</v>
      </c>
    </row>
    <row r="23" spans="2:10" x14ac:dyDescent="0.3">
      <c r="B23" s="14" t="s">
        <v>196</v>
      </c>
      <c r="C23" s="54">
        <f>SUMIF(Dados_Brutos!D:D, B23, Dados_Brutos!E:E)</f>
        <v>0</v>
      </c>
      <c r="D23" s="55">
        <f t="shared" si="0"/>
        <v>0</v>
      </c>
      <c r="E23" s="55">
        <f>IF(COUNTIFS(Dados_Brutos!D:D,Tabela11[[#This Row],[TURBINA]],Dados_Brutos!K:K, "Alto")&gt;0,0.8,IF(COUNTIFS(Dados_Brutos!D:D,Tabela11[[#This Row],[TURBINA]],Dados_Brutos!K:K, "Médio"),0.8,1))*Tabela11[[#This Row],[% IMAS TROCADOS]]</f>
        <v>0</v>
      </c>
      <c r="F23" s="55">
        <f>IF(COUNTIFS(Dados_Brutos!D:D,Tabela11[[#This Row],[TURBINA]],Dados_Brutos!L:L,"Alto")&gt;0, 0.8, IF(COUNTIFS(Dados_Brutos!D:D,Tabela11[[#This Row],[TURBINA]],Dados_Brutos!L:L,"Médio")&gt;0, 0.9, 1))*Tabela11[[#This Row],[% IMAS TROCADOS]]</f>
        <v>0</v>
      </c>
      <c r="G23" s="15" t="str">
        <f>COUNTIF(Tabela16[[#This Row],[C-01]:[C-120]],"X") &amp; "/120"</f>
        <v>2/120</v>
      </c>
      <c r="H23" s="15" t="str">
        <f t="shared" si="1"/>
        <v>🟢</v>
      </c>
      <c r="I23" s="16" cm="1">
        <f t="array" ref="I23">MAX(IF(Dados_Brutos!D:D=Tabela11[[#This Row],[TURBINA]],Dados_Brutos!A:A))</f>
        <v>45792</v>
      </c>
      <c r="J23" s="16">
        <f t="shared" si="2"/>
        <v>46006</v>
      </c>
    </row>
    <row r="24" spans="2:10" x14ac:dyDescent="0.3">
      <c r="B24" s="14" t="s">
        <v>197</v>
      </c>
      <c r="C24" s="54">
        <f>SUMIF(Dados_Brutos!D:D, B24, Dados_Brutos!E:E)</f>
        <v>0</v>
      </c>
      <c r="D24" s="55">
        <f t="shared" si="0"/>
        <v>0</v>
      </c>
      <c r="E24" s="55">
        <f>IF(COUNTIFS(Dados_Brutos!D:D,Tabela11[[#This Row],[TURBINA]],Dados_Brutos!K:K, "Alto")&gt;0,0.8,IF(COUNTIFS(Dados_Brutos!D:D,Tabela11[[#This Row],[TURBINA]],Dados_Brutos!K:K, "Médio"),0.8,1))*Tabela11[[#This Row],[% IMAS TROCADOS]]</f>
        <v>0</v>
      </c>
      <c r="F24" s="55">
        <f>IF(COUNTIFS(Dados_Brutos!D:D,Tabela11[[#This Row],[TURBINA]],Dados_Brutos!L:L,"Alto")&gt;0, 0.8, IF(COUNTIFS(Dados_Brutos!D:D,Tabela11[[#This Row],[TURBINA]],Dados_Brutos!L:L,"Médio")&gt;0, 0.9, 1))*Tabela11[[#This Row],[% IMAS TROCADOS]]</f>
        <v>0</v>
      </c>
      <c r="G24" s="15" t="str">
        <f>COUNTIF(Tabela16[[#This Row],[C-01]:[C-120]],"X") &amp; "/120"</f>
        <v>0/120</v>
      </c>
      <c r="H24" s="15" t="str">
        <f t="shared" si="1"/>
        <v>🟢</v>
      </c>
      <c r="I24" s="16" cm="1">
        <f t="array" ref="I24">MAX(IF(Dados_Brutos!D:D=Tabela11[[#This Row],[TURBINA]],Dados_Brutos!A:A))</f>
        <v>45972</v>
      </c>
      <c r="J24" s="16">
        <f t="shared" si="2"/>
        <v>46184</v>
      </c>
    </row>
    <row r="25" spans="2:10" x14ac:dyDescent="0.3">
      <c r="B25" s="14" t="s">
        <v>198</v>
      </c>
      <c r="C25" s="54">
        <f>SUMIF(Dados_Brutos!D:D, B25, Dados_Brutos!E:E)</f>
        <v>40</v>
      </c>
      <c r="D25" s="55">
        <f t="shared" si="0"/>
        <v>3.3333333333333333E-2</v>
      </c>
      <c r="E25" s="55">
        <f>IF(COUNTIFS(Dados_Brutos!D:D,Tabela11[[#This Row],[TURBINA]],Dados_Brutos!K:K, "Alto")&gt;0,0.8,IF(COUNTIFS(Dados_Brutos!D:D,Tabela11[[#This Row],[TURBINA]],Dados_Brutos!K:K, "Médio"),0.8,1))*Tabela11[[#This Row],[% IMAS TROCADOS]]</f>
        <v>3.3333333333333333E-2</v>
      </c>
      <c r="F25" s="55">
        <f>IF(COUNTIFS(Dados_Brutos!D:D,Tabela11[[#This Row],[TURBINA]],Dados_Brutos!L:L,"Alto")&gt;0, 0.8, IF(COUNTIFS(Dados_Brutos!D:D,Tabela11[[#This Row],[TURBINA]],Dados_Brutos!L:L,"Médio")&gt;0, 0.9, 1))*Tabela11[[#This Row],[% IMAS TROCADOS]]</f>
        <v>2.6666666666666668E-2</v>
      </c>
      <c r="G25" s="15" t="str">
        <f>COUNTIF(Tabela16[[#This Row],[C-01]:[C-120]],"X") &amp; "/120"</f>
        <v>0/120</v>
      </c>
      <c r="H25" s="15" t="str">
        <f t="shared" si="1"/>
        <v>🟢</v>
      </c>
      <c r="I25" s="16" cm="1">
        <f t="array" ref="I25">MAX(IF(Dados_Brutos!D:D=Tabela11[[#This Row],[TURBINA]],Dados_Brutos!A:A))</f>
        <v>45630</v>
      </c>
      <c r="J25" s="16">
        <f t="shared" si="2"/>
        <v>45842</v>
      </c>
    </row>
    <row r="26" spans="2:10" x14ac:dyDescent="0.3">
      <c r="B26" s="14" t="s">
        <v>199</v>
      </c>
      <c r="C26" s="54">
        <f>SUMIF(Dados_Brutos!D:D, B26, Dados_Brutos!E:E)</f>
        <v>32</v>
      </c>
      <c r="D26" s="55">
        <f t="shared" si="0"/>
        <v>2.6666666666666668E-2</v>
      </c>
      <c r="E26" s="55">
        <f>IF(COUNTIFS(Dados_Brutos!D:D,Tabela11[[#This Row],[TURBINA]],Dados_Brutos!K:K, "Alto")&gt;0,0.8,IF(COUNTIFS(Dados_Brutos!D:D,Tabela11[[#This Row],[TURBINA]],Dados_Brutos!K:K, "Médio"),0.8,1))*Tabela11[[#This Row],[% IMAS TROCADOS]]</f>
        <v>2.6666666666666668E-2</v>
      </c>
      <c r="F26" s="55">
        <f>IF(COUNTIFS(Dados_Brutos!D:D,Tabela11[[#This Row],[TURBINA]],Dados_Brutos!L:L,"Alto")&gt;0, 0.8, IF(COUNTIFS(Dados_Brutos!D:D,Tabela11[[#This Row],[TURBINA]],Dados_Brutos!L:L,"Médio")&gt;0, 0.9, 1))*Tabela11[[#This Row],[% IMAS TROCADOS]]</f>
        <v>2.1333333333333336E-2</v>
      </c>
      <c r="G26" s="15" t="str">
        <f>COUNTIF(Tabela16[[#This Row],[C-01]:[C-120]],"X") &amp; "/120"</f>
        <v>0/120</v>
      </c>
      <c r="H26" s="15" t="str">
        <f t="shared" si="1"/>
        <v>🟢</v>
      </c>
      <c r="I26" s="16" cm="1">
        <f t="array" ref="I26">MAX(IF(Dados_Brutos!D:D=Tabela11[[#This Row],[TURBINA]],Dados_Brutos!A:A))</f>
        <v>45742</v>
      </c>
      <c r="J26" s="16">
        <f t="shared" si="2"/>
        <v>45956</v>
      </c>
    </row>
    <row r="27" spans="2:10" x14ac:dyDescent="0.3">
      <c r="B27" s="14" t="s">
        <v>200</v>
      </c>
      <c r="C27" s="54">
        <f>SUMIF(Dados_Brutos!D:D, B27, Dados_Brutos!E:E)</f>
        <v>20</v>
      </c>
      <c r="D27" s="55">
        <f t="shared" si="0"/>
        <v>1.6666666666666666E-2</v>
      </c>
      <c r="E27" s="55">
        <f>IF(COUNTIFS(Dados_Brutos!D:D,Tabela11[[#This Row],[TURBINA]],Dados_Brutos!K:K, "Alto")&gt;0,0.8,IF(COUNTIFS(Dados_Brutos!D:D,Tabela11[[#This Row],[TURBINA]],Dados_Brutos!K:K, "Médio"),0.8,1))*Tabela11[[#This Row],[% IMAS TROCADOS]]</f>
        <v>1.6666666666666666E-2</v>
      </c>
      <c r="F27" s="55">
        <f>IF(COUNTIFS(Dados_Brutos!D:D,Tabela11[[#This Row],[TURBINA]],Dados_Brutos!L:L,"Alto")&gt;0, 0.8, IF(COUNTIFS(Dados_Brutos!D:D,Tabela11[[#This Row],[TURBINA]],Dados_Brutos!L:L,"Médio")&gt;0, 0.9, 1))*Tabela11[[#This Row],[% IMAS TROCADOS]]</f>
        <v>1.3333333333333334E-2</v>
      </c>
      <c r="G27" s="15" t="str">
        <f>COUNTIF(Tabela16[[#This Row],[C-01]:[C-120]],"X") &amp; "/120"</f>
        <v>0/120</v>
      </c>
      <c r="H27" s="15" t="str">
        <f t="shared" si="1"/>
        <v>🟢</v>
      </c>
      <c r="I27" s="16" cm="1">
        <f t="array" ref="I27">MAX(IF(Dados_Brutos!D:D=Tabela11[[#This Row],[TURBINA]],Dados_Brutos!A:A))</f>
        <v>45629</v>
      </c>
      <c r="J27" s="16">
        <f t="shared" si="2"/>
        <v>45841</v>
      </c>
    </row>
    <row r="28" spans="2:10" x14ac:dyDescent="0.3">
      <c r="B28" s="14" t="s">
        <v>201</v>
      </c>
      <c r="C28" s="54">
        <f>SUMIF(Dados_Brutos!D:D, B28, Dados_Brutos!E:E)</f>
        <v>0</v>
      </c>
      <c r="D28" s="55">
        <f t="shared" si="0"/>
        <v>0</v>
      </c>
      <c r="E28" s="55">
        <f>IF(COUNTIFS(Dados_Brutos!D:D,Tabela11[[#This Row],[TURBINA]],Dados_Brutos!K:K, "Alto")&gt;0,0.8,IF(COUNTIFS(Dados_Brutos!D:D,Tabela11[[#This Row],[TURBINA]],Dados_Brutos!K:K, "Médio"),0.8,1))*Tabela11[[#This Row],[% IMAS TROCADOS]]</f>
        <v>0</v>
      </c>
      <c r="F28" s="55">
        <f>IF(COUNTIFS(Dados_Brutos!D:D,Tabela11[[#This Row],[TURBINA]],Dados_Brutos!L:L,"Alto")&gt;0, 0.8, IF(COUNTIFS(Dados_Brutos!D:D,Tabela11[[#This Row],[TURBINA]],Dados_Brutos!L:L,"Médio")&gt;0, 0.9, 1))*Tabela11[[#This Row],[% IMAS TROCADOS]]</f>
        <v>0</v>
      </c>
      <c r="G28" s="15" t="str">
        <f>COUNTIF(Tabela16[[#This Row],[C-01]:[C-120]],"X") &amp; "/120"</f>
        <v>2/120</v>
      </c>
      <c r="H28" s="15" t="str">
        <f t="shared" si="1"/>
        <v>🟢</v>
      </c>
      <c r="I28" s="16" cm="1">
        <f t="array" ref="I28">MAX(IF(Dados_Brutos!D:D=Tabela11[[#This Row],[TURBINA]],Dados_Brutos!A:A))</f>
        <v>45971</v>
      </c>
      <c r="J28" s="16">
        <f t="shared" si="2"/>
        <v>46183</v>
      </c>
    </row>
    <row r="29" spans="2:10" x14ac:dyDescent="0.3">
      <c r="B29" s="14" t="s">
        <v>202</v>
      </c>
      <c r="C29" s="54">
        <f>SUMIF(Dados_Brutos!D:D, B29, Dados_Brutos!E:E)</f>
        <v>50</v>
      </c>
      <c r="D29" s="55">
        <f t="shared" si="0"/>
        <v>4.1666666666666664E-2</v>
      </c>
      <c r="E29" s="55">
        <f>IF(COUNTIFS(Dados_Brutos!D:D,Tabela11[[#This Row],[TURBINA]],Dados_Brutos!K:K, "Alto")&gt;0,0.8,IF(COUNTIFS(Dados_Brutos!D:D,Tabela11[[#This Row],[TURBINA]],Dados_Brutos!K:K, "Médio"),0.8,1))*Tabela11[[#This Row],[% IMAS TROCADOS]]</f>
        <v>3.3333333333333333E-2</v>
      </c>
      <c r="F29" s="55">
        <f>IF(COUNTIFS(Dados_Brutos!D:D,Tabela11[[#This Row],[TURBINA]],Dados_Brutos!L:L,"Alto")&gt;0, 0.8, IF(COUNTIFS(Dados_Brutos!D:D,Tabela11[[#This Row],[TURBINA]],Dados_Brutos!L:L,"Médio")&gt;0, 0.9, 1))*Tabela11[[#This Row],[% IMAS TROCADOS]]</f>
        <v>4.1666666666666664E-2</v>
      </c>
      <c r="G29" s="15" t="str">
        <f>COUNTIF(Tabela16[[#This Row],[C-01]:[C-120]],"X") &amp; "/120"</f>
        <v>0/120</v>
      </c>
      <c r="H29" s="15" t="str">
        <f t="shared" si="1"/>
        <v>🟢</v>
      </c>
      <c r="I29" s="16" cm="1">
        <f t="array" ref="I29">MAX(IF(Dados_Brutos!D:D=Tabela11[[#This Row],[TURBINA]],Dados_Brutos!A:A))</f>
        <v>45639</v>
      </c>
      <c r="J29" s="16">
        <f t="shared" si="2"/>
        <v>45851</v>
      </c>
    </row>
    <row r="30" spans="2:10" x14ac:dyDescent="0.3">
      <c r="B30" s="14" t="s">
        <v>203</v>
      </c>
      <c r="C30" s="54">
        <f>SUMIF(Dados_Brutos!D:D, B30, Dados_Brutos!E:E)</f>
        <v>142</v>
      </c>
      <c r="D30" s="55">
        <f t="shared" si="0"/>
        <v>0.11833333333333333</v>
      </c>
      <c r="E30" s="55">
        <f>IF(COUNTIFS(Dados_Brutos!D:D,Tabela11[[#This Row],[TURBINA]],Dados_Brutos!K:K, "Alto")&gt;0,0.8,IF(COUNTIFS(Dados_Brutos!D:D,Tabela11[[#This Row],[TURBINA]],Dados_Brutos!K:K, "Médio"),0.8,1))*Tabela11[[#This Row],[% IMAS TROCADOS]]</f>
        <v>9.4666666666666677E-2</v>
      </c>
      <c r="F30" s="55">
        <f>IF(COUNTIFS(Dados_Brutos!D:D,Tabela11[[#This Row],[TURBINA]],Dados_Brutos!L:L,"Alto")&gt;0, 0.8, IF(COUNTIFS(Dados_Brutos!D:D,Tabela11[[#This Row],[TURBINA]],Dados_Brutos!L:L,"Médio")&gt;0, 0.9, 1))*Tabela11[[#This Row],[% IMAS TROCADOS]]</f>
        <v>0.11833333333333333</v>
      </c>
      <c r="G30" s="15" t="str">
        <f>COUNTIF(Tabela16[[#This Row],[C-01]:[C-120]],"X") &amp; "/120"</f>
        <v>0/120</v>
      </c>
      <c r="H30" s="15" t="str">
        <f t="shared" si="1"/>
        <v>🟡</v>
      </c>
      <c r="I30" s="16" cm="1">
        <f t="array" ref="I30">MAX(IF(Dados_Brutos!D:D=Tabela11[[#This Row],[TURBINA]],Dados_Brutos!A:A))</f>
        <v>45748</v>
      </c>
      <c r="J30" s="16">
        <f t="shared" si="2"/>
        <v>45962</v>
      </c>
    </row>
    <row r="31" spans="2:10" x14ac:dyDescent="0.3">
      <c r="B31" s="14" t="s">
        <v>207</v>
      </c>
      <c r="C31" s="54">
        <f>SUMIF(Dados_Brutos!D:D, B31, Dados_Brutos!E:E)</f>
        <v>10</v>
      </c>
      <c r="D31" s="55">
        <f t="shared" si="0"/>
        <v>8.3333333333333332E-3</v>
      </c>
      <c r="E31" s="55">
        <f>IF(COUNTIFS(Dados_Brutos!D:D,Tabela11[[#This Row],[TURBINA]],Dados_Brutos!K:K, "Alto")&gt;0,0.8,IF(COUNTIFS(Dados_Brutos!D:D,Tabela11[[#This Row],[TURBINA]],Dados_Brutos!K:K, "Médio"),0.8,1))*Tabela11[[#This Row],[% IMAS TROCADOS]]</f>
        <v>6.6666666666666671E-3</v>
      </c>
      <c r="F31" s="55">
        <f>IF(COUNTIFS(Dados_Brutos!D:D,Tabela11[[#This Row],[TURBINA]],Dados_Brutos!L:L,"Alto")&gt;0, 0.8, IF(COUNTIFS(Dados_Brutos!D:D,Tabela11[[#This Row],[TURBINA]],Dados_Brutos!L:L,"Médio")&gt;0, 0.9, 1))*Tabela11[[#This Row],[% IMAS TROCADOS]]</f>
        <v>7.4999999999999997E-3</v>
      </c>
      <c r="G31" s="15" t="str">
        <f>COUNTIF(Tabela16[[#This Row],[C-01]:[C-120]],"X") &amp; "/120"</f>
        <v>0/120</v>
      </c>
      <c r="H31" s="15" t="str">
        <f t="shared" si="1"/>
        <v>🟢</v>
      </c>
      <c r="I31" s="16" cm="1">
        <f t="array" ref="I31">MAX(IF(Dados_Brutos!D:D=Tabela11[[#This Row],[TURBINA]],Dados_Brutos!A:A))</f>
        <v>45628</v>
      </c>
      <c r="J31" s="16">
        <f t="shared" si="2"/>
        <v>45840</v>
      </c>
    </row>
    <row r="32" spans="2:10" x14ac:dyDescent="0.3">
      <c r="B32" s="14" t="s">
        <v>204</v>
      </c>
      <c r="C32" s="54">
        <f>SUMIF(Dados_Brutos!D:D, B32, Dados_Brutos!E:E)</f>
        <v>10</v>
      </c>
      <c r="D32" s="55">
        <f t="shared" si="0"/>
        <v>8.3333333333333332E-3</v>
      </c>
      <c r="E32" s="55">
        <f>IF(COUNTIFS(Dados_Brutos!D:D,Tabela11[[#This Row],[TURBINA]],Dados_Brutos!K:K, "Alto")&gt;0,0.8,IF(COUNTIFS(Dados_Brutos!D:D,Tabela11[[#This Row],[TURBINA]],Dados_Brutos!K:K, "Médio"),0.8,1))*Tabela11[[#This Row],[% IMAS TROCADOS]]</f>
        <v>8.3333333333333332E-3</v>
      </c>
      <c r="F32" s="55">
        <f>IF(COUNTIFS(Dados_Brutos!D:D,Tabela11[[#This Row],[TURBINA]],Dados_Brutos!L:L,"Alto")&gt;0, 0.8, IF(COUNTIFS(Dados_Brutos!D:D,Tabela11[[#This Row],[TURBINA]],Dados_Brutos!L:L,"Médio")&gt;0, 0.9, 1))*Tabela11[[#This Row],[% IMAS TROCADOS]]</f>
        <v>7.4999999999999997E-3</v>
      </c>
      <c r="G32" s="15" t="str">
        <f>COUNTIF(Tabela16[[#This Row],[C-01]:[C-120]],"X") &amp; "/120"</f>
        <v>0/120</v>
      </c>
      <c r="H32" s="15" t="str">
        <f t="shared" si="1"/>
        <v>🟢</v>
      </c>
      <c r="I32" s="16" cm="1">
        <f t="array" ref="I32">MAX(IF(Dados_Brutos!D:D=Tabela11[[#This Row],[TURBINA]],Dados_Brutos!A:A))</f>
        <v>45635</v>
      </c>
      <c r="J32" s="16">
        <f t="shared" si="2"/>
        <v>45847</v>
      </c>
    </row>
    <row r="33" spans="2:10" x14ac:dyDescent="0.3">
      <c r="B33" s="14" t="s">
        <v>208</v>
      </c>
      <c r="C33" s="54">
        <f>SUMIF(Dados_Brutos!D:D, B33, Dados_Brutos!E:E)</f>
        <v>0</v>
      </c>
      <c r="D33" s="55">
        <f t="shared" si="0"/>
        <v>0</v>
      </c>
      <c r="E33" s="55">
        <f>IF(COUNTIFS(Dados_Brutos!D:D,Tabela11[[#This Row],[TURBINA]],Dados_Brutos!K:K, "Alto")&gt;0,0.8,IF(COUNTIFS(Dados_Brutos!D:D,Tabela11[[#This Row],[TURBINA]],Dados_Brutos!K:K, "Médio"),0.8,1))*Tabela11[[#This Row],[% IMAS TROCADOS]]</f>
        <v>0</v>
      </c>
      <c r="F33" s="55">
        <f>IF(COUNTIFS(Dados_Brutos!D:D,Tabela11[[#This Row],[TURBINA]],Dados_Brutos!L:L,"Alto")&gt;0, 0.8, IF(COUNTIFS(Dados_Brutos!D:D,Tabela11[[#This Row],[TURBINA]],Dados_Brutos!L:L,"Médio")&gt;0, 0.9, 1))*Tabela11[[#This Row],[% IMAS TROCADOS]]</f>
        <v>0</v>
      </c>
      <c r="G33" s="15" t="str">
        <f>COUNTIF(Tabela16[[#This Row],[C-01]:[C-120]],"X") &amp; "/120"</f>
        <v>0/120</v>
      </c>
      <c r="H33" s="15" t="str">
        <f t="shared" si="1"/>
        <v>🟢</v>
      </c>
      <c r="I33" s="16" cm="1">
        <f t="array" ref="I33">MAX(IF(Dados_Brutos!D:D=Tabela11[[#This Row],[TURBINA]],Dados_Brutos!A:A))</f>
        <v>45737</v>
      </c>
      <c r="J33" s="16">
        <f t="shared" si="2"/>
        <v>45951</v>
      </c>
    </row>
    <row r="34" spans="2:10" x14ac:dyDescent="0.3">
      <c r="B34" s="14" t="s">
        <v>209</v>
      </c>
      <c r="C34" s="54">
        <f>SUMIF(Dados_Brutos!D:D, B34, Dados_Brutos!E:E)</f>
        <v>80</v>
      </c>
      <c r="D34" s="55">
        <f t="shared" si="0"/>
        <v>6.6666666666666666E-2</v>
      </c>
      <c r="E34" s="55">
        <f>IF(COUNTIFS(Dados_Brutos!D:D,Tabela11[[#This Row],[TURBINA]],Dados_Brutos!K:K, "Alto")&gt;0,0.8,IF(COUNTIFS(Dados_Brutos!D:D,Tabela11[[#This Row],[TURBINA]],Dados_Brutos!K:K, "Médio"),0.8,1))*Tabela11[[#This Row],[% IMAS TROCADOS]]</f>
        <v>5.3333333333333337E-2</v>
      </c>
      <c r="F34" s="55">
        <f>IF(COUNTIFS(Dados_Brutos!D:D,Tabela11[[#This Row],[TURBINA]],Dados_Brutos!L:L,"Alto")&gt;0, 0.8, IF(COUNTIFS(Dados_Brutos!D:D,Tabela11[[#This Row],[TURBINA]],Dados_Brutos!L:L,"Médio")&gt;0, 0.9, 1))*Tabela11[[#This Row],[% IMAS TROCADOS]]</f>
        <v>5.3333333333333337E-2</v>
      </c>
      <c r="G34" s="15" t="str">
        <f>COUNTIF(Tabela16[[#This Row],[C-01]:[C-120]],"X") &amp; "/120"</f>
        <v>5/120</v>
      </c>
      <c r="H34" s="15" t="str">
        <f t="shared" si="1"/>
        <v>🟢</v>
      </c>
      <c r="I34" s="16" cm="1">
        <f t="array" ref="I34">MAX(IF(Dados_Brutos!D:D=Tabela11[[#This Row],[TURBINA]],Dados_Brutos!A:A))</f>
        <v>45619</v>
      </c>
      <c r="J34" s="16">
        <f t="shared" si="2"/>
        <v>45831</v>
      </c>
    </row>
    <row r="35" spans="2:10" x14ac:dyDescent="0.3">
      <c r="B35" s="14" t="s">
        <v>210</v>
      </c>
      <c r="C35" s="54">
        <f>SUMIF(Dados_Brutos!D:D, B35, Dados_Brutos!E:E)</f>
        <v>62</v>
      </c>
      <c r="D35" s="55">
        <f t="shared" si="0"/>
        <v>5.1666666666666666E-2</v>
      </c>
      <c r="E35" s="55">
        <f>IF(COUNTIFS(Dados_Brutos!D:D,Tabela11[[#This Row],[TURBINA]],Dados_Brutos!K:K, "Alto")&gt;0,0.8,IF(COUNTIFS(Dados_Brutos!D:D,Tabela11[[#This Row],[TURBINA]],Dados_Brutos!K:K, "Médio"),0.8,1))*Tabela11[[#This Row],[% IMAS TROCADOS]]</f>
        <v>4.1333333333333333E-2</v>
      </c>
      <c r="F35" s="55">
        <f>IF(COUNTIFS(Dados_Brutos!D:D,Tabela11[[#This Row],[TURBINA]],Dados_Brutos!L:L,"Alto")&gt;0, 0.8, IF(COUNTIFS(Dados_Brutos!D:D,Tabela11[[#This Row],[TURBINA]],Dados_Brutos!L:L,"Médio")&gt;0, 0.9, 1))*Tabela11[[#This Row],[% IMAS TROCADOS]]</f>
        <v>4.1333333333333333E-2</v>
      </c>
      <c r="G35" s="15" t="str">
        <f>COUNTIF(Tabela16[[#This Row],[C-01]:[C-120]],"X") &amp; "/120"</f>
        <v>0/120</v>
      </c>
      <c r="H35" s="15" t="str">
        <f t="shared" si="1"/>
        <v>🟢</v>
      </c>
      <c r="I35" s="16" cm="1">
        <f t="array" ref="I35">MAX(IF(Dados_Brutos!D:D=Tabela11[[#This Row],[TURBINA]],Dados_Brutos!A:A))</f>
        <v>45912</v>
      </c>
      <c r="J35" s="16">
        <f t="shared" si="2"/>
        <v>46124</v>
      </c>
    </row>
    <row r="36" spans="2:10" x14ac:dyDescent="0.3">
      <c r="B36" s="14" t="s">
        <v>183</v>
      </c>
      <c r="C36" s="54">
        <f>SUMIF(Dados_Brutos!D:D, B36, Dados_Brutos!E:E)</f>
        <v>410</v>
      </c>
      <c r="D36" s="55">
        <f t="shared" si="0"/>
        <v>0.34166666666666667</v>
      </c>
      <c r="E36" s="55">
        <f>IF(COUNTIFS(Dados_Brutos!D:D,Tabela11[[#This Row],[TURBINA]],Dados_Brutos!K:K, "Alto")&gt;0,0.8,IF(COUNTIFS(Dados_Brutos!D:D,Tabela11[[#This Row],[TURBINA]],Dados_Brutos!K:K, "Médio"),0.8,1))*Tabela11[[#This Row],[% IMAS TROCADOS]]</f>
        <v>0.27333333333333337</v>
      </c>
      <c r="F36" s="55">
        <f>IF(COUNTIFS(Dados_Brutos!D:D,Tabela11[[#This Row],[TURBINA]],Dados_Brutos!L:L,"Alto")&gt;0, 0.8, IF(COUNTIFS(Dados_Brutos!D:D,Tabela11[[#This Row],[TURBINA]],Dados_Brutos!L:L,"Médio")&gt;0, 0.9, 1))*Tabela11[[#This Row],[% IMAS TROCADOS]]</f>
        <v>0.27333333333333337</v>
      </c>
      <c r="G36" s="15" t="str">
        <f>COUNTIF(Tabela16[[#This Row],[C-01]:[C-120]],"X") &amp; "/120"</f>
        <v>0/120</v>
      </c>
      <c r="H36" s="15" t="str">
        <f t="shared" si="1"/>
        <v>🔴</v>
      </c>
      <c r="I36" s="16" cm="1">
        <f t="array" ref="I36">MAX(IF(Dados_Brutos!D:D=Tabela11[[#This Row],[TURBINA]],Dados_Brutos!A:A))</f>
        <v>45965</v>
      </c>
      <c r="J36" s="16">
        <f t="shared" si="2"/>
        <v>46177</v>
      </c>
    </row>
    <row r="37" spans="2:10" x14ac:dyDescent="0.3">
      <c r="B37" s="14" t="s">
        <v>211</v>
      </c>
      <c r="C37" s="54">
        <f>SUMIF(Dados_Brutos!D:D, B37, Dados_Brutos!E:E)</f>
        <v>320</v>
      </c>
      <c r="D37" s="55">
        <f t="shared" si="0"/>
        <v>0.26666666666666666</v>
      </c>
      <c r="E37" s="55">
        <f>IF(COUNTIFS(Dados_Brutos!D:D,Tabela11[[#This Row],[TURBINA]],Dados_Brutos!K:K, "Alto")&gt;0,0.8,IF(COUNTIFS(Dados_Brutos!D:D,Tabela11[[#This Row],[TURBINA]],Dados_Brutos!K:K, "Médio"),0.8,1))*Tabela11[[#This Row],[% IMAS TROCADOS]]</f>
        <v>0.21333333333333335</v>
      </c>
      <c r="F37" s="55">
        <f>IF(COUNTIFS(Dados_Brutos!D:D,Tabela11[[#This Row],[TURBINA]],Dados_Brutos!L:L,"Alto")&gt;0, 0.8, IF(COUNTIFS(Dados_Brutos!D:D,Tabela11[[#This Row],[TURBINA]],Dados_Brutos!L:L,"Médio")&gt;0, 0.9, 1))*Tabela11[[#This Row],[% IMAS TROCADOS]]</f>
        <v>0.21333333333333335</v>
      </c>
      <c r="G37" s="15" t="str">
        <f>COUNTIF(Tabela16[[#This Row],[C-01]:[C-120]],"X") &amp; "/120"</f>
        <v>0/120</v>
      </c>
      <c r="H37" s="15" t="str">
        <f t="shared" si="1"/>
        <v>🔴</v>
      </c>
      <c r="I37" s="16" cm="1">
        <f t="array" ref="I37">MAX(IF(Dados_Brutos!D:D=Tabela11[[#This Row],[TURBINA]],Dados_Brutos!A:A))</f>
        <v>45974</v>
      </c>
      <c r="J37" s="16">
        <f t="shared" si="2"/>
        <v>46186</v>
      </c>
    </row>
    <row r="38" spans="2:10" x14ac:dyDescent="0.3">
      <c r="B38" s="14" t="s">
        <v>212</v>
      </c>
      <c r="C38" s="54">
        <f>SUMIF(Dados_Brutos!D:D, B38, Dados_Brutos!E:E)</f>
        <v>0</v>
      </c>
      <c r="D38" s="55">
        <f t="shared" si="0"/>
        <v>0</v>
      </c>
      <c r="E38" s="55">
        <f>IF(COUNTIFS(Dados_Brutos!D:D,Tabela11[[#This Row],[TURBINA]],Dados_Brutos!K:K, "Alto")&gt;0,0.8,IF(COUNTIFS(Dados_Brutos!D:D,Tabela11[[#This Row],[TURBINA]],Dados_Brutos!K:K, "Médio"),0.8,1))*Tabela11[[#This Row],[% IMAS TROCADOS]]</f>
        <v>0</v>
      </c>
      <c r="F38" s="55">
        <f>IF(COUNTIFS(Dados_Brutos!D:D,Tabela11[[#This Row],[TURBINA]],Dados_Brutos!L:L,"Alto")&gt;0, 0.8, IF(COUNTIFS(Dados_Brutos!D:D,Tabela11[[#This Row],[TURBINA]],Dados_Brutos!L:L,"Médio")&gt;0, 0.9, 1))*Tabela11[[#This Row],[% IMAS TROCADOS]]</f>
        <v>0</v>
      </c>
      <c r="G38" s="15" t="str">
        <f>COUNTIF(Tabela16[[#This Row],[C-01]:[C-120]],"X") &amp; "/120"</f>
        <v>0/120</v>
      </c>
      <c r="H38" s="15" t="str">
        <f t="shared" si="1"/>
        <v>🟢</v>
      </c>
      <c r="I38" s="16" cm="1">
        <f t="array" ref="I38">MAX(IF(Dados_Brutos!D:D=Tabela11[[#This Row],[TURBINA]],Dados_Brutos!A:A))</f>
        <v>45740</v>
      </c>
      <c r="J38" s="16">
        <f t="shared" si="2"/>
        <v>45954</v>
      </c>
    </row>
    <row r="39" spans="2:10" x14ac:dyDescent="0.3">
      <c r="B39" s="14" t="s">
        <v>213</v>
      </c>
      <c r="C39" s="54">
        <f>SUMIF(Dados_Brutos!D:D, B39, Dados_Brutos!E:E)</f>
        <v>0</v>
      </c>
      <c r="D39" s="55">
        <f t="shared" si="0"/>
        <v>0</v>
      </c>
      <c r="E39" s="55">
        <f>IF(COUNTIFS(Dados_Brutos!D:D,Tabela11[[#This Row],[TURBINA]],Dados_Brutos!K:K, "Alto")&gt;0,0.8,IF(COUNTIFS(Dados_Brutos!D:D,Tabela11[[#This Row],[TURBINA]],Dados_Brutos!K:K, "Médio"),0.8,1))*Tabela11[[#This Row],[% IMAS TROCADOS]]</f>
        <v>0</v>
      </c>
      <c r="F39" s="55">
        <f>IF(COUNTIFS(Dados_Brutos!D:D,Tabela11[[#This Row],[TURBINA]],Dados_Brutos!L:L,"Alto")&gt;0, 0.8, IF(COUNTIFS(Dados_Brutos!D:D,Tabela11[[#This Row],[TURBINA]],Dados_Brutos!L:L,"Médio")&gt;0, 0.9, 1))*Tabela11[[#This Row],[% IMAS TROCADOS]]</f>
        <v>0</v>
      </c>
      <c r="G39" s="15" t="str">
        <f>COUNTIF(Tabela16[[#This Row],[C-01]:[C-120]],"X") &amp; "/120"</f>
        <v>0/120</v>
      </c>
      <c r="H39" s="15" t="str">
        <f t="shared" si="1"/>
        <v>🟢</v>
      </c>
      <c r="I39" s="16" cm="1">
        <f t="array" ref="I39">MAX(IF(Dados_Brutos!D:D=Tabela11[[#This Row],[TURBINA]],Dados_Brutos!A:A))</f>
        <v>45735</v>
      </c>
      <c r="J39" s="16">
        <f t="shared" si="2"/>
        <v>45949</v>
      </c>
    </row>
    <row r="40" spans="2:10" x14ac:dyDescent="0.3">
      <c r="B40" s="14" t="s">
        <v>184</v>
      </c>
      <c r="C40" s="54">
        <f>SUMIF(Dados_Brutos!D:D, B40, Dados_Brutos!E:E)</f>
        <v>120</v>
      </c>
      <c r="D40" s="55">
        <f t="shared" si="0"/>
        <v>0.1</v>
      </c>
      <c r="E40" s="55">
        <f>IF(COUNTIFS(Dados_Brutos!D:D,Tabela11[[#This Row],[TURBINA]],Dados_Brutos!K:K, "Alto")&gt;0,0.8,IF(COUNTIFS(Dados_Brutos!D:D,Tabela11[[#This Row],[TURBINA]],Dados_Brutos!K:K, "Médio"),0.8,1))*Tabela11[[#This Row],[% IMAS TROCADOS]]</f>
        <v>8.0000000000000016E-2</v>
      </c>
      <c r="F40" s="55">
        <f>IF(COUNTIFS(Dados_Brutos!D:D,Tabela11[[#This Row],[TURBINA]],Dados_Brutos!L:L,"Alto")&gt;0, 0.8, IF(COUNTIFS(Dados_Brutos!D:D,Tabela11[[#This Row],[TURBINA]],Dados_Brutos!L:L,"Médio")&gt;0, 0.9, 1))*Tabela11[[#This Row],[% IMAS TROCADOS]]</f>
        <v>8.0000000000000016E-2</v>
      </c>
      <c r="G40" s="15" t="str">
        <f>COUNTIF(Tabela16[[#This Row],[C-01]:[C-120]],"X") &amp; "/120"</f>
        <v>5/120</v>
      </c>
      <c r="H40" s="15" t="str">
        <f t="shared" si="1"/>
        <v>🟡</v>
      </c>
      <c r="I40" s="16" cm="1">
        <f t="array" ref="I40">MAX(IF(Dados_Brutos!D:D=Tabela11[[#This Row],[TURBINA]],Dados_Brutos!A:A))</f>
        <v>45770</v>
      </c>
      <c r="J40" s="16">
        <f t="shared" si="2"/>
        <v>45984</v>
      </c>
    </row>
    <row r="41" spans="2:10" x14ac:dyDescent="0.3">
      <c r="B41" s="14" t="s">
        <v>214</v>
      </c>
      <c r="C41" s="54">
        <f>SUMIF(Dados_Brutos!D:D, B41, Dados_Brutos!E:E)</f>
        <v>0</v>
      </c>
      <c r="D41" s="55">
        <f t="shared" si="0"/>
        <v>0</v>
      </c>
      <c r="E41" s="55">
        <f>IF(COUNTIFS(Dados_Brutos!D:D,Tabela11[[#This Row],[TURBINA]],Dados_Brutos!K:K, "Alto")&gt;0,0.8,IF(COUNTIFS(Dados_Brutos!D:D,Tabela11[[#This Row],[TURBINA]],Dados_Brutos!K:K, "Médio"),0.8,1))*Tabela11[[#This Row],[% IMAS TROCADOS]]</f>
        <v>0</v>
      </c>
      <c r="F41" s="55">
        <f>IF(COUNTIFS(Dados_Brutos!D:D,Tabela11[[#This Row],[TURBINA]],Dados_Brutos!L:L,"Alto")&gt;0, 0.8, IF(COUNTIFS(Dados_Brutos!D:D,Tabela11[[#This Row],[TURBINA]],Dados_Brutos!L:L,"Médio")&gt;0, 0.9, 1))*Tabela11[[#This Row],[% IMAS TROCADOS]]</f>
        <v>0</v>
      </c>
      <c r="G41" s="15" t="str">
        <f>COUNTIF(Tabela16[[#This Row],[C-01]:[C-120]],"X") &amp; "/120"</f>
        <v>0/120</v>
      </c>
      <c r="H41" s="15" t="str">
        <f t="shared" si="1"/>
        <v>🟢</v>
      </c>
      <c r="I41" s="16" cm="1">
        <f t="array" ref="I41">MAX(IF(Dados_Brutos!D:D=Tabela11[[#This Row],[TURBINA]],Dados_Brutos!A:A))</f>
        <v>45631</v>
      </c>
      <c r="J41" s="16">
        <f t="shared" si="2"/>
        <v>45843</v>
      </c>
    </row>
    <row r="42" spans="2:10" x14ac:dyDescent="0.3">
      <c r="B42" s="14" t="s">
        <v>185</v>
      </c>
      <c r="C42" s="54">
        <f>SUMIF(Dados_Brutos!D:D, B42, Dados_Brutos!E:E)</f>
        <v>3</v>
      </c>
      <c r="D42" s="55">
        <f t="shared" si="0"/>
        <v>2.5000000000000001E-3</v>
      </c>
      <c r="E42" s="55">
        <f>IF(COUNTIFS(Dados_Brutos!D:D,Tabela11[[#This Row],[TURBINA]],Dados_Brutos!K:K, "Alto")&gt;0,0.8,IF(COUNTIFS(Dados_Brutos!D:D,Tabela11[[#This Row],[TURBINA]],Dados_Brutos!K:K, "Médio"),0.8,1))*Tabela11[[#This Row],[% IMAS TROCADOS]]</f>
        <v>2.5000000000000001E-3</v>
      </c>
      <c r="F42" s="55">
        <f>IF(COUNTIFS(Dados_Brutos!D:D,Tabela11[[#This Row],[TURBINA]],Dados_Brutos!L:L,"Alto")&gt;0, 0.8, IF(COUNTIFS(Dados_Brutos!D:D,Tabela11[[#This Row],[TURBINA]],Dados_Brutos!L:L,"Médio")&gt;0, 0.9, 1))*Tabela11[[#This Row],[% IMAS TROCADOS]]</f>
        <v>2.5000000000000001E-3</v>
      </c>
      <c r="G42" s="15" t="str">
        <f>COUNTIF(Tabela16[[#This Row],[C-01]:[C-120]],"X") &amp; "/120"</f>
        <v>0/120</v>
      </c>
      <c r="H42" s="15" t="str">
        <f t="shared" si="1"/>
        <v>🟢</v>
      </c>
      <c r="I42" s="16" cm="1">
        <f t="array" ref="I42">MAX(IF(Dados_Brutos!D:D=Tabela11[[#This Row],[TURBINA]],Dados_Brutos!A:A))</f>
        <v>45937</v>
      </c>
      <c r="J42" s="16">
        <f t="shared" si="2"/>
        <v>46149</v>
      </c>
    </row>
    <row r="43" spans="2:10" x14ac:dyDescent="0.3">
      <c r="B43" s="14" t="s">
        <v>215</v>
      </c>
      <c r="C43" s="54">
        <f>SUMIF(Dados_Brutos!D:D, B43, Dados_Brutos!E:E)</f>
        <v>0</v>
      </c>
      <c r="D43" s="55">
        <f t="shared" si="0"/>
        <v>0</v>
      </c>
      <c r="E43" s="55">
        <f>IF(COUNTIFS(Dados_Brutos!D:D,Tabela11[[#This Row],[TURBINA]],Dados_Brutos!K:K, "Alto")&gt;0,0.8,IF(COUNTIFS(Dados_Brutos!D:D,Tabela11[[#This Row],[TURBINA]],Dados_Brutos!K:K, "Médio"),0.8,1))*Tabela11[[#This Row],[% IMAS TROCADOS]]</f>
        <v>0</v>
      </c>
      <c r="F43" s="55">
        <f>IF(COUNTIFS(Dados_Brutos!D:D,Tabela11[[#This Row],[TURBINA]],Dados_Brutos!L:L,"Alto")&gt;0, 0.8, IF(COUNTIFS(Dados_Brutos!D:D,Tabela11[[#This Row],[TURBINA]],Dados_Brutos!L:L,"Médio")&gt;0, 0.9, 1))*Tabela11[[#This Row],[% IMAS TROCADOS]]</f>
        <v>0</v>
      </c>
      <c r="G43" s="15" t="str">
        <f>COUNTIF(Tabela16[[#This Row],[C-01]:[C-120]],"X") &amp; "/120"</f>
        <v>5/120</v>
      </c>
      <c r="H43" s="15" t="str">
        <f t="shared" si="1"/>
        <v>🟢</v>
      </c>
      <c r="I43" s="16" cm="1">
        <f t="array" ref="I43">MAX(IF(Dados_Brutos!D:D=Tabela11[[#This Row],[TURBINA]],Dados_Brutos!A:A))</f>
        <v>45639</v>
      </c>
      <c r="J43" s="16">
        <f t="shared" si="2"/>
        <v>45851</v>
      </c>
    </row>
    <row r="44" spans="2:10" x14ac:dyDescent="0.3">
      <c r="B44" s="14" t="s">
        <v>186</v>
      </c>
      <c r="C44" s="54">
        <f>SUMIF(Dados_Brutos!D:D, B44, Dados_Brutos!E:E)</f>
        <v>0</v>
      </c>
      <c r="D44" s="55">
        <f t="shared" si="0"/>
        <v>0</v>
      </c>
      <c r="E44" s="55">
        <f>IF(COUNTIFS(Dados_Brutos!D:D,Tabela11[[#This Row],[TURBINA]],Dados_Brutos!K:K, "Alto")&gt;0,0.8,IF(COUNTIFS(Dados_Brutos!D:D,Tabela11[[#This Row],[TURBINA]],Dados_Brutos!K:K, "Médio"),0.8,1))*Tabela11[[#This Row],[% IMAS TROCADOS]]</f>
        <v>0</v>
      </c>
      <c r="F44" s="55">
        <f>IF(COUNTIFS(Dados_Brutos!D:D,Tabela11[[#This Row],[TURBINA]],Dados_Brutos!L:L,"Alto")&gt;0, 0.8, IF(COUNTIFS(Dados_Brutos!D:D,Tabela11[[#This Row],[TURBINA]],Dados_Brutos!L:L,"Médio")&gt;0, 0.9, 1))*Tabela11[[#This Row],[% IMAS TROCADOS]]</f>
        <v>0</v>
      </c>
      <c r="G44" s="15" t="str">
        <f>COUNTIF(Tabela16[[#This Row],[C-01]:[C-120]],"X") &amp; "/120"</f>
        <v>0/120</v>
      </c>
      <c r="H44" s="15" t="str">
        <f t="shared" si="1"/>
        <v>🟢</v>
      </c>
      <c r="I44" s="16" cm="1">
        <f t="array" ref="I44">MAX(IF(Dados_Brutos!D:D=Tabela11[[#This Row],[TURBINA]],Dados_Brutos!A:A))</f>
        <v>45769</v>
      </c>
      <c r="J44" s="16">
        <f t="shared" si="2"/>
        <v>45983</v>
      </c>
    </row>
    <row r="45" spans="2:10" x14ac:dyDescent="0.3">
      <c r="B45" s="14" t="s">
        <v>187</v>
      </c>
      <c r="C45" s="54">
        <f>SUMIF(Dados_Brutos!D:D, B45, Dados_Brutos!E:E)</f>
        <v>23</v>
      </c>
      <c r="D45" s="55">
        <f t="shared" si="0"/>
        <v>1.9166666666666665E-2</v>
      </c>
      <c r="E45" s="55">
        <f>IF(COUNTIFS(Dados_Brutos!D:D,Tabela11[[#This Row],[TURBINA]],Dados_Brutos!K:K, "Alto")&gt;0,0.8,IF(COUNTIFS(Dados_Brutos!D:D,Tabela11[[#This Row],[TURBINA]],Dados_Brutos!K:K, "Médio"),0.8,1))*Tabela11[[#This Row],[% IMAS TROCADOS]]</f>
        <v>1.5333333333333332E-2</v>
      </c>
      <c r="F45" s="55">
        <f>IF(COUNTIFS(Dados_Brutos!D:D,Tabela11[[#This Row],[TURBINA]],Dados_Brutos!L:L,"Alto")&gt;0, 0.8, IF(COUNTIFS(Dados_Brutos!D:D,Tabela11[[#This Row],[TURBINA]],Dados_Brutos!L:L,"Médio")&gt;0, 0.9, 1))*Tabela11[[#This Row],[% IMAS TROCADOS]]</f>
        <v>1.5333333333333332E-2</v>
      </c>
      <c r="G45" s="15" t="str">
        <f>COUNTIF(Tabela16[[#This Row],[C-01]:[C-120]],"X") &amp; "/120"</f>
        <v>0/120</v>
      </c>
      <c r="H45" s="15" t="str">
        <f t="shared" si="1"/>
        <v>🟢</v>
      </c>
      <c r="I45" s="16" cm="1">
        <f t="array" ref="I45">MAX(IF(Dados_Brutos!D:D=Tabela11[[#This Row],[TURBINA]],Dados_Brutos!A:A))</f>
        <v>45754</v>
      </c>
      <c r="J45" s="16">
        <f t="shared" si="2"/>
        <v>45968</v>
      </c>
    </row>
    <row r="46" spans="2:10" x14ac:dyDescent="0.3">
      <c r="B46" s="14" t="s">
        <v>188</v>
      </c>
      <c r="C46" s="54">
        <f>SUMIF(Dados_Brutos!D:D, B46, Dados_Brutos!E:E)</f>
        <v>100</v>
      </c>
      <c r="D46" s="55">
        <f t="shared" si="0"/>
        <v>8.3333333333333329E-2</v>
      </c>
      <c r="E46" s="55">
        <f>IF(COUNTIFS(Dados_Brutos!D:D,Tabela11[[#This Row],[TURBINA]],Dados_Brutos!K:K, "Alto")&gt;0,0.8,IF(COUNTIFS(Dados_Brutos!D:D,Tabela11[[#This Row],[TURBINA]],Dados_Brutos!K:K, "Médio"),0.8,1))*Tabela11[[#This Row],[% IMAS TROCADOS]]</f>
        <v>8.3333333333333329E-2</v>
      </c>
      <c r="F46" s="55">
        <f>IF(COUNTIFS(Dados_Brutos!D:D,Tabela11[[#This Row],[TURBINA]],Dados_Brutos!L:L,"Alto")&gt;0, 0.8, IF(COUNTIFS(Dados_Brutos!D:D,Tabela11[[#This Row],[TURBINA]],Dados_Brutos!L:L,"Médio")&gt;0, 0.9, 1))*Tabela11[[#This Row],[% IMAS TROCADOS]]</f>
        <v>6.6666666666666666E-2</v>
      </c>
      <c r="G46" s="15" t="str">
        <f>COUNTIF(Tabela16[[#This Row],[C-01]:[C-120]],"X") &amp; "/120"</f>
        <v>0/120</v>
      </c>
      <c r="H46" s="15" t="str">
        <f t="shared" si="1"/>
        <v>🟢</v>
      </c>
      <c r="I46" s="16" cm="1">
        <f t="array" ref="I46">MAX(IF(Dados_Brutos!D:D=Tabela11[[#This Row],[TURBINA]],Dados_Brutos!A:A))</f>
        <v>45966</v>
      </c>
      <c r="J46" s="16">
        <f t="shared" si="2"/>
        <v>46178</v>
      </c>
    </row>
    <row r="47" spans="2:10" x14ac:dyDescent="0.3">
      <c r="B47" s="14" t="s">
        <v>189</v>
      </c>
      <c r="C47" s="54">
        <f>SUMIF(Dados_Brutos!D:D, B47, Dados_Brutos!E:E)</f>
        <v>20</v>
      </c>
      <c r="D47" s="55">
        <f t="shared" si="0"/>
        <v>1.6666666666666666E-2</v>
      </c>
      <c r="E47" s="55">
        <f>IF(COUNTIFS(Dados_Brutos!D:D,Tabela11[[#This Row],[TURBINA]],Dados_Brutos!K:K, "Alto")&gt;0,0.8,IF(COUNTIFS(Dados_Brutos!D:D,Tabela11[[#This Row],[TURBINA]],Dados_Brutos!K:K, "Médio"),0.8,1))*Tabela11[[#This Row],[% IMAS TROCADOS]]</f>
        <v>1.3333333333333334E-2</v>
      </c>
      <c r="F47" s="55">
        <f>IF(COUNTIFS(Dados_Brutos!D:D,Tabela11[[#This Row],[TURBINA]],Dados_Brutos!L:L,"Alto")&gt;0, 0.8, IF(COUNTIFS(Dados_Brutos!D:D,Tabela11[[#This Row],[TURBINA]],Dados_Brutos!L:L,"Médio")&gt;0, 0.9, 1))*Tabela11[[#This Row],[% IMAS TROCADOS]]</f>
        <v>1.3333333333333334E-2</v>
      </c>
      <c r="G47" s="15" t="str">
        <f>COUNTIF(Tabela16[[#This Row],[C-01]:[C-120]],"X") &amp; "/120"</f>
        <v>0/120</v>
      </c>
      <c r="H47" s="15" t="str">
        <f t="shared" si="1"/>
        <v>🟢</v>
      </c>
      <c r="I47" s="16" cm="1">
        <f t="array" ref="I47">MAX(IF(Dados_Brutos!D:D=Tabela11[[#This Row],[TURBINA]],Dados_Brutos!A:A))</f>
        <v>45733</v>
      </c>
      <c r="J47" s="16">
        <f t="shared" si="2"/>
        <v>45947</v>
      </c>
    </row>
    <row r="48" spans="2:10" x14ac:dyDescent="0.3">
      <c r="B48" s="14" t="s">
        <v>190</v>
      </c>
      <c r="C48" s="54">
        <f>SUMIF(Dados_Brutos!D:D, B48, Dados_Brutos!E:E)</f>
        <v>0</v>
      </c>
      <c r="D48" s="55">
        <f t="shared" si="0"/>
        <v>0</v>
      </c>
      <c r="E48" s="55">
        <f>IF(COUNTIFS(Dados_Brutos!D:D,Tabela11[[#This Row],[TURBINA]],Dados_Brutos!K:K, "Alto")&gt;0,0.8,IF(COUNTIFS(Dados_Brutos!D:D,Tabela11[[#This Row],[TURBINA]],Dados_Brutos!K:K, "Médio"),0.8,1))*Tabela11[[#This Row],[% IMAS TROCADOS]]</f>
        <v>0</v>
      </c>
      <c r="F48" s="55">
        <f>IF(COUNTIFS(Dados_Brutos!D:D,Tabela11[[#This Row],[TURBINA]],Dados_Brutos!L:L,"Alto")&gt;0, 0.8, IF(COUNTIFS(Dados_Brutos!D:D,Tabela11[[#This Row],[TURBINA]],Dados_Brutos!L:L,"Médio")&gt;0, 0.9, 1))*Tabela11[[#This Row],[% IMAS TROCADOS]]</f>
        <v>0</v>
      </c>
      <c r="G48" s="15" t="str">
        <f>COUNTIF(Tabela16[[#This Row],[C-01]:[C-120]],"X") &amp; "/120"</f>
        <v>0/120</v>
      </c>
      <c r="H48" s="15" t="str">
        <f t="shared" si="1"/>
        <v>🟢</v>
      </c>
      <c r="I48" s="16" cm="1">
        <f t="array" ref="I48">MAX(IF(Dados_Brutos!D:D=Tabela11[[#This Row],[TURBINA]],Dados_Brutos!A:A))</f>
        <v>45756</v>
      </c>
      <c r="J48" s="16">
        <f t="shared" si="2"/>
        <v>45970</v>
      </c>
    </row>
    <row r="50" spans="3:3" x14ac:dyDescent="0.3">
      <c r="C50" s="2"/>
    </row>
    <row r="52" spans="3:3" x14ac:dyDescent="0.3">
      <c r="C52" s="5"/>
    </row>
  </sheetData>
  <conditionalFormatting sqref="C2:C48">
    <cfRule type="expression" dxfId="17" priority="4">
      <formula>$C2&gt;0</formula>
    </cfRule>
  </conditionalFormatting>
  <conditionalFormatting sqref="D2:D48">
    <cfRule type="expression" dxfId="16" priority="3">
      <formula>$D2&gt;0</formula>
    </cfRule>
  </conditionalFormatting>
  <conditionalFormatting sqref="E2:E48">
    <cfRule type="expression" dxfId="15" priority="2">
      <formula>$E2&gt;0</formula>
    </cfRule>
  </conditionalFormatting>
  <conditionalFormatting sqref="F2:F48">
    <cfRule type="expression" dxfId="14" priority="1">
      <formula>$F2&gt;0</formula>
    </cfRule>
  </conditionalFormatting>
  <pageMargins left="0.511811024" right="0.511811024" top="0.78740157499999996" bottom="0.78740157499999996" header="0.31496062000000002" footer="0.31496062000000002"/>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5" operator="containsText" id="{953E9B1A-FAE0-419D-B1FB-DEA262469AD1}">
            <xm:f>NOT(ISERROR(SEARCH($M$1,H2)))</xm:f>
            <xm:f>$M$1</xm:f>
            <x14:dxf>
              <font>
                <b/>
                <i val="0"/>
                <color theme="9"/>
              </font>
            </x14:dxf>
          </x14:cfRule>
          <x14:cfRule type="containsText" priority="6" operator="containsText" id="{914F5C62-104F-4490-9061-89CEB2DC98DF}">
            <xm:f>NOT(ISERROR(SEARCH($L$1,H2)))</xm:f>
            <xm:f>$L$1</xm:f>
            <x14:dxf>
              <font>
                <b/>
                <i val="0"/>
                <color rgb="FFFFC000"/>
              </font>
            </x14:dxf>
          </x14:cfRule>
          <x14:cfRule type="containsText" priority="7" operator="containsText" id="{AE1B1D11-1E0E-4828-B475-C7F1C79215D6}">
            <xm:f>NOT(ISERROR(SEARCH($K$1,H2)))</xm:f>
            <xm:f>$K$1</xm:f>
            <x14:dxf>
              <font>
                <b/>
                <i val="0"/>
                <color rgb="FFFF0000"/>
              </font>
            </x14:dxf>
          </x14:cfRule>
          <xm:sqref>H2:H48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29B79C16-E5F7-42EC-A3A5-8E2D80D0A2BA}">
          <x14:formula1>
            <xm:f>dados!$D$2:$D$48</xm:f>
          </x14:formula1>
          <xm:sqref>B2:B48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C986A-1359-4012-B061-5E1DE55ABD0B}">
  <dimension ref="A1:F6"/>
  <sheetViews>
    <sheetView showGridLines="0" zoomScale="85" zoomScaleNormal="85" workbookViewId="0">
      <pane ySplit="1" topLeftCell="A2" activePane="bottomLeft" state="frozen"/>
      <selection pane="bottomLeft" activeCell="G32" sqref="G32"/>
    </sheetView>
  </sheetViews>
  <sheetFormatPr defaultRowHeight="14.4" x14ac:dyDescent="0.3"/>
  <cols>
    <col min="1" max="1" width="50.77734375" bestFit="1" customWidth="1"/>
    <col min="2" max="2" width="14.6640625" style="6" bestFit="1" customWidth="1"/>
    <col min="3" max="3" width="12.5546875" customWidth="1"/>
    <col min="5" max="5" width="0" hidden="1" customWidth="1"/>
    <col min="6" max="6" width="8" hidden="1" customWidth="1"/>
    <col min="7" max="7" width="38.77734375" bestFit="1" customWidth="1"/>
  </cols>
  <sheetData>
    <row r="1" spans="1:6" s="3" customFormat="1" ht="37.049999999999997" customHeight="1" x14ac:dyDescent="0.3">
      <c r="A1" s="23" t="s">
        <v>59</v>
      </c>
      <c r="B1" s="29" t="s">
        <v>60</v>
      </c>
      <c r="C1" s="24" t="s">
        <v>61</v>
      </c>
      <c r="E1" s="3" t="s">
        <v>170</v>
      </c>
      <c r="F1" s="3" t="s">
        <v>171</v>
      </c>
    </row>
    <row r="2" spans="1:6" x14ac:dyDescent="0.3">
      <c r="A2" s="25" t="s">
        <v>11</v>
      </c>
      <c r="B2" s="26" t="str">
        <f>COUNTIF(Resumo_Turbinas!K:K,"🔴 ALTO RISCO")&amp;"/47"</f>
        <v>0/47</v>
      </c>
      <c r="C2" s="27" t="str">
        <f>IF(B2&gt;VLOOKUP("Risco Alto",Tabela7[],2),"📈","📉")</f>
        <v>📈</v>
      </c>
    </row>
    <row r="3" spans="1:6" x14ac:dyDescent="0.3">
      <c r="A3" s="25" t="s">
        <v>12</v>
      </c>
      <c r="B3" s="26">
        <f>SUM(Resumo_Turbinas!C:C)</f>
        <v>1766</v>
      </c>
      <c r="C3" s="27" t="str">
        <f>IF(B3&gt;VLOOKUP("Imas Meta",Tabela7[],2),"📈","📉")</f>
        <v>📉</v>
      </c>
    </row>
    <row r="4" spans="1:6" x14ac:dyDescent="0.3">
      <c r="A4" s="25" t="s">
        <v>13</v>
      </c>
      <c r="B4" s="26" t="str">
        <f>"R$ "&amp;TEXT(SUM(Resumo_Turbinas!L:L),"#.##0,00")</f>
        <v>R$ 2.264.356,02</v>
      </c>
      <c r="C4" s="27" t="str">
        <f>IF(SUM(Resumo_Turbinas!L:L)&gt;VLOOKUP("Custo Meta",Tabela7[],2),"📈","📉")</f>
        <v>📈</v>
      </c>
    </row>
    <row r="5" spans="1:6" x14ac:dyDescent="0.3">
      <c r="A5" s="25" t="s">
        <v>14</v>
      </c>
      <c r="B5" s="26" t="str">
        <f ca="1">TEXT(1-SUM(Resumo_Turbinas!G:G)/(47*(TODAY()-MIN(Resumo_Turbinas!D:D))),"0,0%")</f>
        <v>94,6%</v>
      </c>
      <c r="C5" s="27" t="str">
        <f ca="1">IF(B5&gt;VLOOKUP("Disponibilidade Meta",Tabela7[],2),"📈","📉")</f>
        <v>📈</v>
      </c>
    </row>
    <row r="6" spans="1:6" x14ac:dyDescent="0.3">
      <c r="A6" s="11" t="s">
        <v>353</v>
      </c>
      <c r="B6" s="56">
        <f>SUM(Dados_Brutos!E:E) / (47*1200)</f>
        <v>3.1312056737588655E-2</v>
      </c>
      <c r="C6" s="28" t="str">
        <f>IF(B6&gt;VLOOKUP("A7",Tabela7[],2),"📈","📉")</f>
        <v>📉</v>
      </c>
    </row>
  </sheetData>
  <conditionalFormatting sqref="C2:C6">
    <cfRule type="cellIs" dxfId="10" priority="1" operator="equal">
      <formula>$F$1</formula>
    </cfRule>
    <cfRule type="cellIs" dxfId="9" priority="2" operator="equal">
      <formula>$E$1</formula>
    </cfRule>
  </conditionalFormatting>
  <pageMargins left="0.511811024" right="0.511811024" top="0.78740157499999996" bottom="0.78740157499999996" header="0.31496062000000002" footer="0.31496062000000002"/>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C0F37-91DB-4E73-83A7-4800251DB27B}">
  <dimension ref="A1:B9"/>
  <sheetViews>
    <sheetView showGridLines="0" zoomScale="85" zoomScaleNormal="85" workbookViewId="0">
      <pane ySplit="1" topLeftCell="A2" activePane="bottomLeft" state="frozen"/>
      <selection pane="bottomLeft" activeCell="J24" sqref="J24"/>
    </sheetView>
  </sheetViews>
  <sheetFormatPr defaultRowHeight="14.4" x14ac:dyDescent="0.3"/>
  <cols>
    <col min="1" max="1" width="21.109375" bestFit="1" customWidth="1"/>
    <col min="2" max="2" width="16.5546875" bestFit="1" customWidth="1"/>
    <col min="3" max="3" width="21.109375" bestFit="1" customWidth="1"/>
  </cols>
  <sheetData>
    <row r="1" spans="1:2" x14ac:dyDescent="0.3">
      <c r="A1" s="3" t="s">
        <v>62</v>
      </c>
      <c r="B1" s="3" t="s">
        <v>60</v>
      </c>
    </row>
    <row r="2" spans="1:2" x14ac:dyDescent="0.3">
      <c r="A2" s="14" t="s">
        <v>64</v>
      </c>
      <c r="B2" s="52">
        <v>1282.1948</v>
      </c>
    </row>
    <row r="3" spans="1:2" x14ac:dyDescent="0.3">
      <c r="A3" s="14" t="s">
        <v>69</v>
      </c>
      <c r="B3" s="30">
        <v>180</v>
      </c>
    </row>
    <row r="4" spans="1:2" x14ac:dyDescent="0.3">
      <c r="A4" s="14" t="s">
        <v>70</v>
      </c>
      <c r="B4" s="30">
        <v>7</v>
      </c>
    </row>
    <row r="5" spans="1:2" x14ac:dyDescent="0.3">
      <c r="A5" s="14" t="s">
        <v>65</v>
      </c>
      <c r="B5" s="31">
        <v>0.95</v>
      </c>
    </row>
    <row r="6" spans="1:2" x14ac:dyDescent="0.3">
      <c r="A6" s="14" t="s">
        <v>66</v>
      </c>
      <c r="B6" s="31">
        <v>0.85</v>
      </c>
    </row>
    <row r="7" spans="1:2" x14ac:dyDescent="0.3">
      <c r="A7" s="14" t="s">
        <v>67</v>
      </c>
      <c r="B7" s="32">
        <v>1000</v>
      </c>
    </row>
    <row r="8" spans="1:2" x14ac:dyDescent="0.3">
      <c r="A8" s="14" t="s">
        <v>68</v>
      </c>
      <c r="B8" s="52">
        <v>1500000</v>
      </c>
    </row>
    <row r="9" spans="1:2" x14ac:dyDescent="0.3">
      <c r="A9" s="14" t="s">
        <v>63</v>
      </c>
      <c r="B9" s="30">
        <v>8</v>
      </c>
    </row>
  </sheetData>
  <pageMargins left="0.511811024" right="0.511811024" top="0.78740157499999996" bottom="0.78740157499999996" header="0.31496062000000002" footer="0.31496062000000002"/>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CB318-FE50-4FEF-9A0C-D4A8E93DBE31}">
  <dimension ref="A1:D120"/>
  <sheetViews>
    <sheetView topLeftCell="A26" zoomScale="85" zoomScaleNormal="85" workbookViewId="0">
      <selection activeCell="I8" sqref="I8"/>
    </sheetView>
  </sheetViews>
  <sheetFormatPr defaultRowHeight="14.4" x14ac:dyDescent="0.3"/>
  <cols>
    <col min="3" max="3" width="12.6640625" bestFit="1" customWidth="1"/>
    <col min="4" max="4" width="7.77734375" bestFit="1" customWidth="1"/>
  </cols>
  <sheetData>
    <row r="1" spans="1:4" x14ac:dyDescent="0.3">
      <c r="A1">
        <v>1</v>
      </c>
      <c r="C1" t="s">
        <v>1</v>
      </c>
      <c r="D1" t="s">
        <v>176</v>
      </c>
    </row>
    <row r="2" spans="1:4" x14ac:dyDescent="0.3">
      <c r="A2">
        <v>2</v>
      </c>
      <c r="C2" t="s">
        <v>16</v>
      </c>
      <c r="D2" t="s">
        <v>180</v>
      </c>
    </row>
    <row r="3" spans="1:4" x14ac:dyDescent="0.3">
      <c r="A3">
        <v>3</v>
      </c>
      <c r="C3" t="s">
        <v>16</v>
      </c>
      <c r="D3" t="s">
        <v>181</v>
      </c>
    </row>
    <row r="4" spans="1:4" x14ac:dyDescent="0.3">
      <c r="A4">
        <v>4</v>
      </c>
      <c r="C4" t="s">
        <v>16</v>
      </c>
      <c r="D4" t="s">
        <v>182</v>
      </c>
    </row>
    <row r="5" spans="1:4" x14ac:dyDescent="0.3">
      <c r="A5">
        <v>5</v>
      </c>
      <c r="C5" t="s">
        <v>16</v>
      </c>
      <c r="D5" t="s">
        <v>183</v>
      </c>
    </row>
    <row r="6" spans="1:4" x14ac:dyDescent="0.3">
      <c r="A6">
        <v>6</v>
      </c>
      <c r="C6" t="s">
        <v>16</v>
      </c>
      <c r="D6" t="s">
        <v>184</v>
      </c>
    </row>
    <row r="7" spans="1:4" x14ac:dyDescent="0.3">
      <c r="A7">
        <v>7</v>
      </c>
      <c r="C7" t="s">
        <v>16</v>
      </c>
      <c r="D7" t="s">
        <v>185</v>
      </c>
    </row>
    <row r="8" spans="1:4" x14ac:dyDescent="0.3">
      <c r="A8">
        <v>8</v>
      </c>
      <c r="C8" t="s">
        <v>16</v>
      </c>
      <c r="D8" t="s">
        <v>186</v>
      </c>
    </row>
    <row r="9" spans="1:4" x14ac:dyDescent="0.3">
      <c r="A9">
        <v>9</v>
      </c>
      <c r="C9" t="s">
        <v>16</v>
      </c>
      <c r="D9" t="s">
        <v>187</v>
      </c>
    </row>
    <row r="10" spans="1:4" x14ac:dyDescent="0.3">
      <c r="A10">
        <v>10</v>
      </c>
      <c r="C10" t="s">
        <v>16</v>
      </c>
      <c r="D10" t="s">
        <v>188</v>
      </c>
    </row>
    <row r="11" spans="1:4" x14ac:dyDescent="0.3">
      <c r="A11">
        <v>11</v>
      </c>
      <c r="C11" t="s">
        <v>16</v>
      </c>
      <c r="D11" t="s">
        <v>189</v>
      </c>
    </row>
    <row r="12" spans="1:4" x14ac:dyDescent="0.3">
      <c r="A12">
        <v>12</v>
      </c>
      <c r="C12" t="s">
        <v>16</v>
      </c>
      <c r="D12" t="s">
        <v>190</v>
      </c>
    </row>
    <row r="13" spans="1:4" x14ac:dyDescent="0.3">
      <c r="A13">
        <v>13</v>
      </c>
      <c r="C13" t="s">
        <v>73</v>
      </c>
      <c r="D13" t="s">
        <v>191</v>
      </c>
    </row>
    <row r="14" spans="1:4" x14ac:dyDescent="0.3">
      <c r="A14">
        <v>14</v>
      </c>
      <c r="C14" t="s">
        <v>73</v>
      </c>
      <c r="D14" t="s">
        <v>192</v>
      </c>
    </row>
    <row r="15" spans="1:4" x14ac:dyDescent="0.3">
      <c r="A15">
        <v>15</v>
      </c>
      <c r="C15" t="s">
        <v>73</v>
      </c>
      <c r="D15" t="s">
        <v>193</v>
      </c>
    </row>
    <row r="16" spans="1:4" x14ac:dyDescent="0.3">
      <c r="A16">
        <v>16</v>
      </c>
      <c r="C16" t="s">
        <v>73</v>
      </c>
      <c r="D16" t="s">
        <v>194</v>
      </c>
    </row>
    <row r="17" spans="1:4" x14ac:dyDescent="0.3">
      <c r="A17">
        <v>17</v>
      </c>
      <c r="C17" t="s">
        <v>73</v>
      </c>
      <c r="D17" t="s">
        <v>195</v>
      </c>
    </row>
    <row r="18" spans="1:4" x14ac:dyDescent="0.3">
      <c r="A18">
        <v>18</v>
      </c>
      <c r="C18" t="s">
        <v>73</v>
      </c>
      <c r="D18" t="s">
        <v>196</v>
      </c>
    </row>
    <row r="19" spans="1:4" x14ac:dyDescent="0.3">
      <c r="A19">
        <v>19</v>
      </c>
      <c r="C19" t="s">
        <v>73</v>
      </c>
      <c r="D19" t="s">
        <v>197</v>
      </c>
    </row>
    <row r="20" spans="1:4" x14ac:dyDescent="0.3">
      <c r="A20">
        <v>20</v>
      </c>
      <c r="C20" t="s">
        <v>73</v>
      </c>
      <c r="D20" t="s">
        <v>198</v>
      </c>
    </row>
    <row r="21" spans="1:4" x14ac:dyDescent="0.3">
      <c r="A21">
        <v>21</v>
      </c>
      <c r="C21" t="s">
        <v>73</v>
      </c>
      <c r="D21" t="s">
        <v>199</v>
      </c>
    </row>
    <row r="22" spans="1:4" x14ac:dyDescent="0.3">
      <c r="A22">
        <v>22</v>
      </c>
      <c r="C22" t="s">
        <v>73</v>
      </c>
      <c r="D22" t="s">
        <v>200</v>
      </c>
    </row>
    <row r="23" spans="1:4" x14ac:dyDescent="0.3">
      <c r="A23">
        <v>23</v>
      </c>
      <c r="C23" t="s">
        <v>73</v>
      </c>
      <c r="D23" t="s">
        <v>201</v>
      </c>
    </row>
    <row r="24" spans="1:4" x14ac:dyDescent="0.3">
      <c r="A24">
        <v>24</v>
      </c>
      <c r="C24" t="s">
        <v>73</v>
      </c>
      <c r="D24" t="s">
        <v>202</v>
      </c>
    </row>
    <row r="25" spans="1:4" x14ac:dyDescent="0.3">
      <c r="A25">
        <v>25</v>
      </c>
      <c r="C25" t="s">
        <v>73</v>
      </c>
      <c r="D25" t="s">
        <v>203</v>
      </c>
    </row>
    <row r="26" spans="1:4" x14ac:dyDescent="0.3">
      <c r="A26">
        <v>26</v>
      </c>
      <c r="C26" t="s">
        <v>73</v>
      </c>
      <c r="D26" t="s">
        <v>204</v>
      </c>
    </row>
    <row r="27" spans="1:4" x14ac:dyDescent="0.3">
      <c r="A27">
        <v>27</v>
      </c>
      <c r="C27" t="s">
        <v>81</v>
      </c>
      <c r="D27" t="s">
        <v>205</v>
      </c>
    </row>
    <row r="28" spans="1:4" x14ac:dyDescent="0.3">
      <c r="A28">
        <v>28</v>
      </c>
      <c r="C28" t="s">
        <v>81</v>
      </c>
      <c r="D28" t="s">
        <v>206</v>
      </c>
    </row>
    <row r="29" spans="1:4" x14ac:dyDescent="0.3">
      <c r="A29">
        <v>29</v>
      </c>
      <c r="C29" t="s">
        <v>81</v>
      </c>
      <c r="D29" t="s">
        <v>207</v>
      </c>
    </row>
    <row r="30" spans="1:4" x14ac:dyDescent="0.3">
      <c r="A30">
        <v>30</v>
      </c>
      <c r="C30" t="s">
        <v>81</v>
      </c>
      <c r="D30" t="s">
        <v>208</v>
      </c>
    </row>
    <row r="31" spans="1:4" x14ac:dyDescent="0.3">
      <c r="A31">
        <v>31</v>
      </c>
      <c r="C31" t="s">
        <v>81</v>
      </c>
      <c r="D31" t="s">
        <v>209</v>
      </c>
    </row>
    <row r="32" spans="1:4" x14ac:dyDescent="0.3">
      <c r="A32">
        <v>32</v>
      </c>
      <c r="C32" t="s">
        <v>81</v>
      </c>
      <c r="D32" t="s">
        <v>210</v>
      </c>
    </row>
    <row r="33" spans="1:4" x14ac:dyDescent="0.3">
      <c r="A33">
        <v>33</v>
      </c>
      <c r="C33" t="s">
        <v>81</v>
      </c>
      <c r="D33" t="s">
        <v>211</v>
      </c>
    </row>
    <row r="34" spans="1:4" x14ac:dyDescent="0.3">
      <c r="A34">
        <v>34</v>
      </c>
      <c r="C34" t="s">
        <v>81</v>
      </c>
      <c r="D34" t="s">
        <v>212</v>
      </c>
    </row>
    <row r="35" spans="1:4" x14ac:dyDescent="0.3">
      <c r="A35">
        <v>35</v>
      </c>
      <c r="C35" t="s">
        <v>81</v>
      </c>
      <c r="D35" t="s">
        <v>213</v>
      </c>
    </row>
    <row r="36" spans="1:4" x14ac:dyDescent="0.3">
      <c r="A36">
        <v>36</v>
      </c>
      <c r="C36" t="s">
        <v>81</v>
      </c>
      <c r="D36" t="s">
        <v>214</v>
      </c>
    </row>
    <row r="37" spans="1:4" x14ac:dyDescent="0.3">
      <c r="A37">
        <v>37</v>
      </c>
      <c r="C37" t="s">
        <v>81</v>
      </c>
      <c r="D37" t="s">
        <v>215</v>
      </c>
    </row>
    <row r="38" spans="1:4" x14ac:dyDescent="0.3">
      <c r="A38">
        <v>38</v>
      </c>
      <c r="C38" t="s">
        <v>82</v>
      </c>
      <c r="D38" t="s">
        <v>216</v>
      </c>
    </row>
    <row r="39" spans="1:4" x14ac:dyDescent="0.3">
      <c r="A39">
        <v>39</v>
      </c>
      <c r="C39" t="s">
        <v>82</v>
      </c>
      <c r="D39" t="s">
        <v>217</v>
      </c>
    </row>
    <row r="40" spans="1:4" x14ac:dyDescent="0.3">
      <c r="A40">
        <v>40</v>
      </c>
      <c r="C40" t="s">
        <v>82</v>
      </c>
      <c r="D40" t="s">
        <v>218</v>
      </c>
    </row>
    <row r="41" spans="1:4" x14ac:dyDescent="0.3">
      <c r="A41">
        <v>41</v>
      </c>
      <c r="C41" t="s">
        <v>82</v>
      </c>
      <c r="D41" t="s">
        <v>219</v>
      </c>
    </row>
    <row r="42" spans="1:4" x14ac:dyDescent="0.3">
      <c r="A42">
        <v>42</v>
      </c>
      <c r="C42" t="s">
        <v>82</v>
      </c>
      <c r="D42" t="s">
        <v>220</v>
      </c>
    </row>
    <row r="43" spans="1:4" x14ac:dyDescent="0.3">
      <c r="A43">
        <v>43</v>
      </c>
      <c r="C43" t="s">
        <v>82</v>
      </c>
      <c r="D43" t="s">
        <v>221</v>
      </c>
    </row>
    <row r="44" spans="1:4" x14ac:dyDescent="0.3">
      <c r="A44">
        <v>44</v>
      </c>
      <c r="C44" t="s">
        <v>82</v>
      </c>
      <c r="D44" t="s">
        <v>222</v>
      </c>
    </row>
    <row r="45" spans="1:4" x14ac:dyDescent="0.3">
      <c r="A45">
        <v>45</v>
      </c>
      <c r="C45" t="s">
        <v>82</v>
      </c>
      <c r="D45" t="s">
        <v>223</v>
      </c>
    </row>
    <row r="46" spans="1:4" x14ac:dyDescent="0.3">
      <c r="A46">
        <v>46</v>
      </c>
      <c r="C46" t="s">
        <v>82</v>
      </c>
      <c r="D46" t="s">
        <v>224</v>
      </c>
    </row>
    <row r="47" spans="1:4" x14ac:dyDescent="0.3">
      <c r="A47">
        <v>47</v>
      </c>
      <c r="C47" t="s">
        <v>82</v>
      </c>
      <c r="D47" t="s">
        <v>225</v>
      </c>
    </row>
    <row r="48" spans="1:4" x14ac:dyDescent="0.3">
      <c r="A48">
        <v>48</v>
      </c>
      <c r="C48" t="s">
        <v>82</v>
      </c>
      <c r="D48" t="s">
        <v>226</v>
      </c>
    </row>
    <row r="49" spans="1:1" x14ac:dyDescent="0.3">
      <c r="A49">
        <v>49</v>
      </c>
    </row>
    <row r="50" spans="1:1" x14ac:dyDescent="0.3">
      <c r="A50">
        <v>50</v>
      </c>
    </row>
    <row r="51" spans="1:1" x14ac:dyDescent="0.3">
      <c r="A51">
        <v>51</v>
      </c>
    </row>
    <row r="52" spans="1:1" x14ac:dyDescent="0.3">
      <c r="A52">
        <v>52</v>
      </c>
    </row>
    <row r="53" spans="1:1" x14ac:dyDescent="0.3">
      <c r="A53">
        <v>53</v>
      </c>
    </row>
    <row r="54" spans="1:1" x14ac:dyDescent="0.3">
      <c r="A54">
        <v>54</v>
      </c>
    </row>
    <row r="55" spans="1:1" x14ac:dyDescent="0.3">
      <c r="A55">
        <v>55</v>
      </c>
    </row>
    <row r="56" spans="1:1" x14ac:dyDescent="0.3">
      <c r="A56">
        <v>56</v>
      </c>
    </row>
    <row r="57" spans="1:1" x14ac:dyDescent="0.3">
      <c r="A57">
        <v>57</v>
      </c>
    </row>
    <row r="58" spans="1:1" x14ac:dyDescent="0.3">
      <c r="A58">
        <v>58</v>
      </c>
    </row>
    <row r="59" spans="1:1" x14ac:dyDescent="0.3">
      <c r="A59">
        <v>59</v>
      </c>
    </row>
    <row r="60" spans="1:1" x14ac:dyDescent="0.3">
      <c r="A60">
        <v>60</v>
      </c>
    </row>
    <row r="61" spans="1:1" x14ac:dyDescent="0.3">
      <c r="A61">
        <v>61</v>
      </c>
    </row>
    <row r="62" spans="1:1" x14ac:dyDescent="0.3">
      <c r="A62">
        <v>62</v>
      </c>
    </row>
    <row r="63" spans="1:1" x14ac:dyDescent="0.3">
      <c r="A63">
        <v>63</v>
      </c>
    </row>
    <row r="64" spans="1:1" x14ac:dyDescent="0.3">
      <c r="A64">
        <v>64</v>
      </c>
    </row>
    <row r="65" spans="1:1" x14ac:dyDescent="0.3">
      <c r="A65">
        <v>65</v>
      </c>
    </row>
    <row r="66" spans="1:1" x14ac:dyDescent="0.3">
      <c r="A66">
        <v>66</v>
      </c>
    </row>
    <row r="67" spans="1:1" x14ac:dyDescent="0.3">
      <c r="A67">
        <v>67</v>
      </c>
    </row>
    <row r="68" spans="1:1" x14ac:dyDescent="0.3">
      <c r="A68">
        <v>68</v>
      </c>
    </row>
    <row r="69" spans="1:1" x14ac:dyDescent="0.3">
      <c r="A69">
        <v>69</v>
      </c>
    </row>
    <row r="70" spans="1:1" x14ac:dyDescent="0.3">
      <c r="A70">
        <v>70</v>
      </c>
    </row>
    <row r="71" spans="1:1" x14ac:dyDescent="0.3">
      <c r="A71">
        <v>71</v>
      </c>
    </row>
    <row r="72" spans="1:1" x14ac:dyDescent="0.3">
      <c r="A72">
        <v>72</v>
      </c>
    </row>
    <row r="73" spans="1:1" x14ac:dyDescent="0.3">
      <c r="A73">
        <v>73</v>
      </c>
    </row>
    <row r="74" spans="1:1" x14ac:dyDescent="0.3">
      <c r="A74">
        <v>74</v>
      </c>
    </row>
    <row r="75" spans="1:1" x14ac:dyDescent="0.3">
      <c r="A75">
        <v>75</v>
      </c>
    </row>
    <row r="76" spans="1:1" x14ac:dyDescent="0.3">
      <c r="A76">
        <v>76</v>
      </c>
    </row>
    <row r="77" spans="1:1" x14ac:dyDescent="0.3">
      <c r="A77">
        <v>77</v>
      </c>
    </row>
    <row r="78" spans="1:1" x14ac:dyDescent="0.3">
      <c r="A78">
        <v>78</v>
      </c>
    </row>
    <row r="79" spans="1:1" x14ac:dyDescent="0.3">
      <c r="A79">
        <v>79</v>
      </c>
    </row>
    <row r="80" spans="1:1" x14ac:dyDescent="0.3">
      <c r="A80">
        <v>80</v>
      </c>
    </row>
    <row r="81" spans="1:1" x14ac:dyDescent="0.3">
      <c r="A81">
        <v>81</v>
      </c>
    </row>
    <row r="82" spans="1:1" x14ac:dyDescent="0.3">
      <c r="A82">
        <v>82</v>
      </c>
    </row>
    <row r="83" spans="1:1" x14ac:dyDescent="0.3">
      <c r="A83">
        <v>83</v>
      </c>
    </row>
    <row r="84" spans="1:1" x14ac:dyDescent="0.3">
      <c r="A84">
        <v>84</v>
      </c>
    </row>
    <row r="85" spans="1:1" x14ac:dyDescent="0.3">
      <c r="A85">
        <v>85</v>
      </c>
    </row>
    <row r="86" spans="1:1" x14ac:dyDescent="0.3">
      <c r="A86">
        <v>86</v>
      </c>
    </row>
    <row r="87" spans="1:1" x14ac:dyDescent="0.3">
      <c r="A87">
        <v>87</v>
      </c>
    </row>
    <row r="88" spans="1:1" x14ac:dyDescent="0.3">
      <c r="A88">
        <v>88</v>
      </c>
    </row>
    <row r="89" spans="1:1" x14ac:dyDescent="0.3">
      <c r="A89">
        <v>89</v>
      </c>
    </row>
    <row r="90" spans="1:1" x14ac:dyDescent="0.3">
      <c r="A90">
        <v>90</v>
      </c>
    </row>
    <row r="91" spans="1:1" x14ac:dyDescent="0.3">
      <c r="A91">
        <v>91</v>
      </c>
    </row>
    <row r="92" spans="1:1" x14ac:dyDescent="0.3">
      <c r="A92">
        <v>92</v>
      </c>
    </row>
    <row r="93" spans="1:1" x14ac:dyDescent="0.3">
      <c r="A93">
        <v>93</v>
      </c>
    </row>
    <row r="94" spans="1:1" x14ac:dyDescent="0.3">
      <c r="A94">
        <v>94</v>
      </c>
    </row>
    <row r="95" spans="1:1" x14ac:dyDescent="0.3">
      <c r="A95">
        <v>95</v>
      </c>
    </row>
    <row r="96" spans="1:1" x14ac:dyDescent="0.3">
      <c r="A96">
        <v>96</v>
      </c>
    </row>
    <row r="97" spans="1:1" x14ac:dyDescent="0.3">
      <c r="A97">
        <v>97</v>
      </c>
    </row>
    <row r="98" spans="1:1" x14ac:dyDescent="0.3">
      <c r="A98">
        <v>98</v>
      </c>
    </row>
    <row r="99" spans="1:1" x14ac:dyDescent="0.3">
      <c r="A99">
        <v>99</v>
      </c>
    </row>
    <row r="100" spans="1:1" x14ac:dyDescent="0.3">
      <c r="A100">
        <v>100</v>
      </c>
    </row>
    <row r="101" spans="1:1" x14ac:dyDescent="0.3">
      <c r="A101">
        <v>101</v>
      </c>
    </row>
    <row r="102" spans="1:1" x14ac:dyDescent="0.3">
      <c r="A102">
        <v>102</v>
      </c>
    </row>
    <row r="103" spans="1:1" x14ac:dyDescent="0.3">
      <c r="A103">
        <v>103</v>
      </c>
    </row>
    <row r="104" spans="1:1" x14ac:dyDescent="0.3">
      <c r="A104">
        <v>104</v>
      </c>
    </row>
    <row r="105" spans="1:1" x14ac:dyDescent="0.3">
      <c r="A105">
        <v>105</v>
      </c>
    </row>
    <row r="106" spans="1:1" x14ac:dyDescent="0.3">
      <c r="A106">
        <v>106</v>
      </c>
    </row>
    <row r="107" spans="1:1" x14ac:dyDescent="0.3">
      <c r="A107">
        <v>107</v>
      </c>
    </row>
    <row r="108" spans="1:1" x14ac:dyDescent="0.3">
      <c r="A108">
        <v>108</v>
      </c>
    </row>
    <row r="109" spans="1:1" x14ac:dyDescent="0.3">
      <c r="A109">
        <v>109</v>
      </c>
    </row>
    <row r="110" spans="1:1" x14ac:dyDescent="0.3">
      <c r="A110">
        <v>110</v>
      </c>
    </row>
    <row r="111" spans="1:1" x14ac:dyDescent="0.3">
      <c r="A111">
        <v>111</v>
      </c>
    </row>
    <row r="112" spans="1:1" x14ac:dyDescent="0.3">
      <c r="A112">
        <v>112</v>
      </c>
    </row>
    <row r="113" spans="1:1" x14ac:dyDescent="0.3">
      <c r="A113">
        <v>113</v>
      </c>
    </row>
    <row r="114" spans="1:1" x14ac:dyDescent="0.3">
      <c r="A114">
        <v>114</v>
      </c>
    </row>
    <row r="115" spans="1:1" x14ac:dyDescent="0.3">
      <c r="A115">
        <v>115</v>
      </c>
    </row>
    <row r="116" spans="1:1" x14ac:dyDescent="0.3">
      <c r="A116">
        <v>116</v>
      </c>
    </row>
    <row r="117" spans="1:1" x14ac:dyDescent="0.3">
      <c r="A117">
        <v>117</v>
      </c>
    </row>
    <row r="118" spans="1:1" x14ac:dyDescent="0.3">
      <c r="A118">
        <v>118</v>
      </c>
    </row>
    <row r="119" spans="1:1" x14ac:dyDescent="0.3">
      <c r="A119">
        <v>119</v>
      </c>
    </row>
    <row r="120" spans="1:1" x14ac:dyDescent="0.3">
      <c r="A120">
        <v>120</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Dados_Brutos</vt:lpstr>
      <vt:lpstr>Dados_Brutos (Agregados)</vt:lpstr>
      <vt:lpstr>Resumo_Turbinas</vt:lpstr>
      <vt:lpstr>Analise_Ciclos</vt:lpstr>
      <vt:lpstr>Evolução_Mensal</vt:lpstr>
      <vt:lpstr>Carreiras_Criticas</vt:lpstr>
      <vt:lpstr>Carreiras</vt:lpstr>
      <vt:lpstr>Carreiras_Vertical</vt:lpstr>
      <vt:lpstr>Analise_Performance</vt:lpstr>
      <vt:lpstr>Dashboards</vt:lpstr>
      <vt:lpstr>Config</vt:lpstr>
      <vt:lpstr>dados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Deivid FERREIRA</dc:creator>
  <cp:lastModifiedBy>Deivid FERREIRA</cp:lastModifiedBy>
  <dcterms:created xsi:type="dcterms:W3CDTF">2025-10-06T13:35:53Z</dcterms:created>
  <dcterms:modified xsi:type="dcterms:W3CDTF">2025-11-13T18:50:44Z</dcterms:modified>
</cp:coreProperties>
</file>